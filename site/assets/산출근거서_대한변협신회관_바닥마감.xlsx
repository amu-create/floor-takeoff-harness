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종별집계" sheetId="1" state="visible" r:id="rId1"/>
    <sheet xmlns:r="http://schemas.openxmlformats.org/officeDocument/2006/relationships" name="실별 산출서" sheetId="2" state="visible" r:id="rId2"/>
    <sheet xmlns:r="http://schemas.openxmlformats.org/officeDocument/2006/relationships" name="산출근거서" sheetId="3" state="visible" r:id="rId3"/>
    <sheet xmlns:r="http://schemas.openxmlformats.org/officeDocument/2006/relationships" name="검토 필요" sheetId="4" state="visible" r:id="rId4"/>
    <sheet xmlns:r="http://schemas.openxmlformats.org/officeDocument/2006/relationships" name="실험 기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008000"/>
    </font>
    <font>
      <name val="Arial"/>
      <b val="1"/>
    </font>
    <font>
      <name val="Arial"/>
      <color theme="1"/>
    </font>
    <font>
      <name val="Arial"/>
      <color rgb="00666666"/>
    </font>
  </fonts>
  <fills count="4">
    <fill>
      <patternFill/>
    </fill>
    <fill>
      <patternFill patternType="gray125"/>
    </fill>
    <fill>
      <patternFill patternType="solid">
        <fgColor rgb="002B3A42"/>
      </patternFill>
    </fill>
    <fill>
      <patternFill patternType="solid">
        <fgColor rgb="00EEF3F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165" fontId="8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7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/>
    </xf>
    <xf numFmtId="0" fontId="9" fillId="0" borderId="0" pivotButton="0" quotePrefix="0" xfId="0"/>
    <xf numFmtId="0" fontId="5" fillId="0" borderId="1" applyAlignment="1" pivotButton="0" quotePrefix="0" xfId="0">
      <alignment vertical="center" wrapText="1"/>
    </xf>
    <xf numFmtId="166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 wrapText="1"/>
    </xf>
    <xf numFmtId="0" fontId="6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8382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8382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83820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83820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83820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83820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83820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83820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83820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83820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83820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838200" cy="666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83820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838200" cy="666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838200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838200" cy="666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838200" cy="666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838200" cy="666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838200" cy="666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838200" cy="666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838200" cy="666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838200" cy="666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838200" cy="666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838200" cy="666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838200" cy="666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838200" cy="666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307</row>
      <rowOff>0</rowOff>
    </from>
    <ext cx="838200" cy="666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318</row>
      <rowOff>0</rowOff>
    </from>
    <ext cx="838200" cy="666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329</row>
      <rowOff>0</rowOff>
    </from>
    <ext cx="838200" cy="666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340</row>
      <rowOff>0</rowOff>
    </from>
    <ext cx="838200" cy="666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351</row>
      <rowOff>0</rowOff>
    </from>
    <ext cx="838200" cy="666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362</row>
      <rowOff>0</rowOff>
    </from>
    <ext cx="838200" cy="666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373</row>
      <rowOff>0</rowOff>
    </from>
    <ext cx="838200" cy="666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" customWidth="1" min="3" max="3"/>
    <col width="13" customWidth="1" min="4" max="4"/>
    <col width="14" customWidth="1" min="5" max="5"/>
    <col width="12" customWidth="1" min="6" max="6"/>
    <col width="12" customWidth="1" min="7" max="7"/>
    <col width="12" customWidth="1" min="8" max="8"/>
    <col width="50" customWidth="1" min="9" max="9"/>
  </cols>
  <sheetData>
    <row r="1">
      <c r="A1" s="1" t="inlineStr">
        <is>
          <t>공종별집계 - 바닥 마감 (목공사및수장공사 중)</t>
        </is>
      </c>
    </row>
    <row r="2">
      <c r="A2" s="2" t="inlineStr">
        <is>
          <t>수량 = 산출근거서 합계(SUMIFS). 도면 기준 = PDF 벡터 측정, 내역서 = 발주처 공개 공내역서(2022). 수량은 정미량(할증은 일위대가에서 처리).</t>
        </is>
      </c>
    </row>
    <row r="4">
      <c r="A4" s="3" t="inlineStr">
        <is>
          <t>품명</t>
        </is>
      </c>
      <c r="B4" s="3" t="inlineStr">
        <is>
          <t>규격</t>
        </is>
      </c>
      <c r="C4" s="3" t="inlineStr">
        <is>
          <t>단위</t>
        </is>
      </c>
      <c r="D4" s="3" t="inlineStr">
        <is>
          <t>AI 산출 수량</t>
        </is>
      </c>
      <c r="E4" s="3" t="inlineStr">
        <is>
          <t>도면 기준(벡터)</t>
        </is>
      </c>
      <c r="F4" s="3" t="inlineStr">
        <is>
          <t>내역서 수량</t>
        </is>
      </c>
      <c r="G4" s="3" t="inlineStr">
        <is>
          <t>AI-도면 오차</t>
        </is>
      </c>
      <c r="H4" s="3" t="inlineStr">
        <is>
          <t>AI-내역 차이</t>
        </is>
      </c>
      <c r="I4" s="3" t="inlineStr">
        <is>
          <t>비고</t>
        </is>
      </c>
    </row>
    <row r="5" ht="30" customHeight="1">
      <c r="A5" s="4" t="inlineStr">
        <is>
          <t>비닐타일 깔기 [DE-01]</t>
        </is>
      </c>
      <c r="B5" s="5" t="inlineStr">
        <is>
          <t>디럭스타일 THK3 (도면 범례 450x450)</t>
        </is>
      </c>
      <c r="C5" s="4" t="inlineStr">
        <is>
          <t>M2</t>
        </is>
      </c>
      <c r="D5" s="6">
        <f>SUMIFS(산출근거서!$G$5:$G$40,산출근거서!$D$5:$D$40,"DE-01")</f>
        <v/>
      </c>
      <c r="E5" s="7" t="n">
        <v>66.08</v>
      </c>
      <c r="F5" s="8" t="n">
        <v>59</v>
      </c>
      <c r="G5" s="9">
        <f>(D5-E5)/E5</f>
        <v/>
      </c>
      <c r="H5" s="6">
        <f>D5-F5</f>
        <v/>
      </c>
      <c r="I5" s="5" t="inlineStr">
        <is>
          <t>내역서 규격 300x300 ↔ 도면 450x450 (규격 불일치 확인 필요)</t>
        </is>
      </c>
    </row>
    <row r="6" ht="30" customHeight="1">
      <c r="A6" s="4" t="inlineStr">
        <is>
          <t>비닐타일 깔기 [DT-01]</t>
        </is>
      </c>
      <c r="B6" s="5" t="inlineStr">
        <is>
          <t>데코타일 (MATERIAL LIST 600x600 T5)</t>
        </is>
      </c>
      <c r="C6" s="4" t="inlineStr">
        <is>
          <t>M2</t>
        </is>
      </c>
      <c r="D6" s="6">
        <f>SUMIFS(산출근거서!$G$5:$G$40,산출근거서!$D$5:$D$40,"DT-01")</f>
        <v/>
      </c>
      <c r="E6" s="7" t="n">
        <v>43.11</v>
      </c>
      <c r="F6" s="8" t="n">
        <v>88</v>
      </c>
      <c r="G6" s="9">
        <f>(D6-E6)/E6</f>
        <v/>
      </c>
      <c r="H6" s="6">
        <f>D6-F6</f>
        <v/>
      </c>
      <c r="I6" s="5" t="inlineStr">
        <is>
          <t>내역서 규격 450x450 ↔ MATERIAL LIST 600x600 (규격 불일치 확인 필요)</t>
        </is>
      </c>
    </row>
    <row r="7" ht="30" customHeight="1">
      <c r="A7" s="4" t="inlineStr">
        <is>
          <t>비닐타일 깔기 [DT-02]</t>
        </is>
      </c>
      <c r="B7" s="5" t="inlineStr">
        <is>
          <t>데코타일 457x914</t>
        </is>
      </c>
      <c r="C7" s="4" t="inlineStr">
        <is>
          <t>M2</t>
        </is>
      </c>
      <c r="D7" s="6">
        <f>SUMIFS(산출근거서!$G$5:$G$40,산출근거서!$D$5:$D$40,"DT-02")</f>
        <v/>
      </c>
      <c r="E7" s="7" t="n">
        <v>246.72</v>
      </c>
      <c r="F7" s="8" t="n">
        <v>283</v>
      </c>
      <c r="G7" s="9">
        <f>(D7-E7)/E7</f>
        <v/>
      </c>
      <c r="H7" s="6">
        <f>D7-F7</f>
        <v/>
      </c>
      <c r="I7" s="5" t="inlineStr"/>
    </row>
    <row r="8" ht="30" customHeight="1">
      <c r="A8" s="4" t="inlineStr">
        <is>
          <t>비닐타일 깔기 [DT-03]</t>
        </is>
      </c>
      <c r="B8" s="5" t="inlineStr">
        <is>
          <t>데코타일 457x914</t>
        </is>
      </c>
      <c r="C8" s="4" t="inlineStr">
        <is>
          <t>M2</t>
        </is>
      </c>
      <c r="D8" s="6">
        <f>SUMIFS(산출근거서!$G$5:$G$40,산출근거서!$D$5:$D$40,"DT-03")</f>
        <v/>
      </c>
      <c r="E8" s="7" t="n">
        <v>469.75</v>
      </c>
      <c r="F8" s="8" t="n">
        <v>492</v>
      </c>
      <c r="G8" s="9">
        <f>(D8-E8)/E8</f>
        <v/>
      </c>
      <c r="H8" s="6">
        <f>D8-F8</f>
        <v/>
      </c>
      <c r="I8" s="5" t="inlineStr"/>
    </row>
    <row r="9" ht="30" customHeight="1">
      <c r="A9" s="4" t="inlineStr">
        <is>
          <t>타일카펫 깔기 [CT-01]</t>
        </is>
      </c>
      <c r="B9" s="5" t="inlineStr">
        <is>
          <t>타일카펫 610x610</t>
        </is>
      </c>
      <c r="C9" s="4" t="inlineStr">
        <is>
          <t>M2</t>
        </is>
      </c>
      <c r="D9" s="6">
        <f>SUMIFS(산출근거서!$G$5:$G$40,산출근거서!$D$5:$D$40,"CT-01")</f>
        <v/>
      </c>
      <c r="E9" s="7" t="n">
        <v>199.91</v>
      </c>
      <c r="F9" s="8" t="n">
        <v>101</v>
      </c>
      <c r="G9" s="9">
        <f>(D9-E9)/E9</f>
        <v/>
      </c>
      <c r="H9" s="6">
        <f>D9-F9</f>
        <v/>
      </c>
      <c r="I9" s="5" t="inlineStr">
        <is>
          <t>B1 다목적 대회의실 단상(우드플로링) AI가 약 9.4㎡ 공제 (내역 단상 6000x1200=7.2㎡)</t>
        </is>
      </c>
    </row>
    <row r="10" ht="30" customHeight="1">
      <c r="A10" s="4" t="inlineStr">
        <is>
          <t>타일카펫 깔기 [CT-02]</t>
        </is>
      </c>
      <c r="B10" s="5" t="inlineStr">
        <is>
          <t>타일카펫 610x610</t>
        </is>
      </c>
      <c r="C10" s="4" t="inlineStr">
        <is>
          <t>M2</t>
        </is>
      </c>
      <c r="D10" s="6">
        <f>SUMIFS(산출근거서!$G$5:$G$40,산출근거서!$D$5:$D$40,"CT-02")</f>
        <v/>
      </c>
      <c r="E10" s="7" t="n">
        <v>97.28</v>
      </c>
      <c r="F10" s="8" t="n">
        <v>79</v>
      </c>
      <c r="G10" s="9">
        <f>(D10-E10)/E10</f>
        <v/>
      </c>
      <c r="H10" s="6">
        <f>D10-F10</f>
        <v/>
      </c>
      <c r="I10" s="5" t="inlineStr"/>
    </row>
    <row r="11" ht="30" customHeight="1">
      <c r="A11" s="4" t="inlineStr">
        <is>
          <t>타일카펫 깔기 [CT-03]</t>
        </is>
      </c>
      <c r="B11" s="5" t="inlineStr">
        <is>
          <t>타일카펫 610x610</t>
        </is>
      </c>
      <c r="C11" s="4" t="inlineStr">
        <is>
          <t>M2</t>
        </is>
      </c>
      <c r="D11" s="6">
        <f>SUMIFS(산출근거서!$G$5:$G$40,산출근거서!$D$5:$D$40,"CT-03")</f>
        <v/>
      </c>
      <c r="E11" s="7" t="n">
        <v>74.73</v>
      </c>
      <c r="F11" s="8" t="n">
        <v>111</v>
      </c>
      <c r="G11" s="9">
        <f>(D11-E11)/E11</f>
        <v/>
      </c>
      <c r="H11" s="6">
        <f>D11-F11</f>
        <v/>
      </c>
      <c r="I11" s="5" t="inlineStr"/>
    </row>
    <row r="12" ht="30" customHeight="1">
      <c r="A12" s="4" t="inlineStr">
        <is>
          <t>타일카펫 깔기 [CT-04]</t>
        </is>
      </c>
      <c r="B12" s="5" t="inlineStr">
        <is>
          <t>타일카펫</t>
        </is>
      </c>
      <c r="C12" s="4" t="inlineStr">
        <is>
          <t>M2</t>
        </is>
      </c>
      <c r="D12" s="6" t="n">
        <v>0</v>
      </c>
      <c r="E12" s="7" t="n">
        <v>0</v>
      </c>
      <c r="F12" s="8" t="n">
        <v>88</v>
      </c>
      <c r="G12" s="9" t="n"/>
      <c r="H12" s="6">
        <f>D12-F12</f>
        <v/>
      </c>
      <c r="I12" s="5" t="inlineStr">
        <is>
          <t>도면 범례·MATERIAL LIST에 없는 코드. 내역 CT 번호 체계가 도면과 달라(내역 CT-01 101㎡ &lt; 도면 CT-01인 B1 대회의실 135㎡) 코드별 대조 불가 → 아래 종류별 대조 참고</t>
        </is>
      </c>
    </row>
    <row r="13" ht="30" customHeight="1">
      <c r="A13" s="4" t="inlineStr">
        <is>
          <t>타일카펫 깔기 [CT-05]</t>
        </is>
      </c>
      <c r="B13" s="5" t="inlineStr">
        <is>
          <t>타일카펫</t>
        </is>
      </c>
      <c r="C13" s="4" t="inlineStr">
        <is>
          <t>M2</t>
        </is>
      </c>
      <c r="D13" s="6" t="n">
        <v>0</v>
      </c>
      <c r="E13" s="7" t="n">
        <v>0</v>
      </c>
      <c r="F13" s="8" t="n">
        <v>22</v>
      </c>
      <c r="G13" s="9" t="n"/>
      <c r="H13" s="6">
        <f>D13-F13</f>
        <v/>
      </c>
      <c r="I13" s="5" t="inlineStr">
        <is>
          <t>도면 범례·MATERIAL LIST에 없는 코드. 내역 CT 번호 체계가 도면과 달라(내역 CT-01 101㎡ &lt; 도면 CT-01인 B1 대회의실 135㎡) 코드별 대조 불가 → 아래 종류별 대조 참고</t>
        </is>
      </c>
    </row>
    <row r="14" ht="30" customHeight="1">
      <c r="A14" s="10" t="inlineStr">
        <is>
          <t>바닥 마감 소계</t>
        </is>
      </c>
      <c r="B14" s="5" t="n"/>
      <c r="C14" s="4" t="n"/>
      <c r="D14" s="11">
        <f>SUM(D5:D13)</f>
        <v/>
      </c>
      <c r="E14" s="11">
        <f>SUM(E5:E13)</f>
        <v/>
      </c>
      <c r="F14" s="11">
        <f>SUM(F5:F13)</f>
        <v/>
      </c>
      <c r="G14" s="9">
        <f>(D14-E14)/E14</f>
        <v/>
      </c>
      <c r="H14" s="6">
        <f>D14-F14</f>
        <v/>
      </c>
      <c r="I14" s="5" t="inlineStr">
        <is>
          <t>참고: 내역서 '기존면바탕정리(바닥)' 1,324㎡ ≈ 바닥재 합 1,323㎡ → 내역 수량은 정미량</t>
        </is>
      </c>
    </row>
    <row r="15" ht="30" customHeight="1">
      <c r="A15" s="4" t="inlineStr">
        <is>
          <t>걸레받이 설치 - MDF+인테리어필름</t>
        </is>
      </c>
      <c r="B15" s="5" t="inlineStr">
        <is>
          <t>T=9, H=30 (내역서 규격)</t>
        </is>
      </c>
      <c r="C15" s="4" t="inlineStr">
        <is>
          <t>M</t>
        </is>
      </c>
      <c r="D15" s="6">
        <f>SUM(산출근거서!$H$5:$H$40)</f>
        <v/>
      </c>
      <c r="E15" s="6" t="n"/>
      <c r="F15" s="8" t="n">
        <v>765</v>
      </c>
      <c r="G15" s="9" t="n"/>
      <c r="H15" s="6">
        <f>D15-F15</f>
        <v/>
      </c>
      <c r="I15" s="5" t="inlineStr">
        <is>
          <t>미해결: AI 산출이 내역 대비 약 -40%. 열린 사무실·복도 둘레, 가구 뒤, 기둥 둘레 처리 기준 확인 필요</t>
        </is>
      </c>
    </row>
    <row r="17">
      <c r="A17" s="12" t="inlineStr">
        <is>
          <t>자재 종류별 대조 (코드 번호 체계 차이를 피해서 비교)</t>
        </is>
      </c>
    </row>
    <row r="18">
      <c r="A18" s="13" t="inlineStr">
        <is>
          <t>종류</t>
        </is>
      </c>
      <c r="B18" s="13" t="inlineStr"/>
      <c r="C18" s="13" t="inlineStr">
        <is>
          <t>단위</t>
        </is>
      </c>
      <c r="D18" s="13" t="inlineStr">
        <is>
          <t>AI 산출</t>
        </is>
      </c>
      <c r="E18" s="13" t="inlineStr">
        <is>
          <t>도면 기준(벡터)</t>
        </is>
      </c>
      <c r="F18" s="13" t="inlineStr">
        <is>
          <t>내역서</t>
        </is>
      </c>
      <c r="G18" s="13" t="inlineStr">
        <is>
          <t>AI-도면 오차</t>
        </is>
      </c>
      <c r="H18" s="13" t="inlineStr">
        <is>
          <t>도면-내역 차이</t>
        </is>
      </c>
      <c r="I18" s="13" t="inlineStr">
        <is>
          <t>해석</t>
        </is>
      </c>
    </row>
    <row r="19" ht="30" customHeight="1">
      <c r="A19" s="14" t="inlineStr">
        <is>
          <t>DE 디럭스타일</t>
        </is>
      </c>
      <c r="B19" s="14" t="n"/>
      <c r="C19" s="14" t="inlineStr">
        <is>
          <t>M2</t>
        </is>
      </c>
      <c r="D19" s="15">
        <f>D5</f>
        <v/>
      </c>
      <c r="E19" s="15">
        <f>E5</f>
        <v/>
      </c>
      <c r="F19" s="15">
        <f>F5</f>
        <v/>
      </c>
      <c r="G19" s="16">
        <f>(D19-E19)/E19</f>
        <v/>
      </c>
      <c r="H19" s="15">
        <f>F19-E19</f>
        <v/>
      </c>
      <c r="I19" s="17" t="inlineStr">
        <is>
          <t>도면이 7㎡ 많음 - 태그 해석 차이(2F 금고 P-TILE 문구 등)</t>
        </is>
      </c>
    </row>
    <row r="20" ht="30" customHeight="1">
      <c r="A20" s="14" t="inlineStr">
        <is>
          <t>DT 데코타일</t>
        </is>
      </c>
      <c r="B20" s="14" t="n"/>
      <c r="C20" s="14" t="inlineStr">
        <is>
          <t>M2</t>
        </is>
      </c>
      <c r="D20" s="15">
        <f>D6+D7+D8</f>
        <v/>
      </c>
      <c r="E20" s="15">
        <f>E6+E7+E8</f>
        <v/>
      </c>
      <c r="F20" s="15">
        <f>F6+F7+F8</f>
        <v/>
      </c>
      <c r="G20" s="16">
        <f>(D20-E20)/E20</f>
        <v/>
      </c>
      <c r="H20" s="15">
        <f>F20-E20</f>
        <v/>
      </c>
      <c r="I20" s="17" t="inlineStr">
        <is>
          <t>내역이 103㎡ 많음 - 무코드 실·미표기 구역 포함 추정</t>
        </is>
      </c>
    </row>
    <row r="21" ht="30" customHeight="1">
      <c r="A21" s="14" t="inlineStr">
        <is>
          <t>CT 타일카펫</t>
        </is>
      </c>
      <c r="B21" s="14" t="n"/>
      <c r="C21" s="14" t="inlineStr">
        <is>
          <t>M2</t>
        </is>
      </c>
      <c r="D21" s="15">
        <f>D9+D10+D11+D12+D13</f>
        <v/>
      </c>
      <c r="E21" s="15">
        <f>E9+E10+E11+E12+E13</f>
        <v/>
      </c>
      <c r="F21" s="15">
        <f>F9+F10+F11+F12+F13</f>
        <v/>
      </c>
      <c r="G21" s="16">
        <f>(D21-E21)/E21</f>
        <v/>
      </c>
      <c r="H21" s="15">
        <f>F21-E21</f>
        <v/>
      </c>
      <c r="I21" s="17" t="inlineStr">
        <is>
          <t>내역이 29㎡ 많음 - 창측 띠/단상 처리 차이 추정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38" customWidth="1" min="4" max="4"/>
    <col width="7" customWidth="1" min="5" max="5"/>
    <col width="62" customWidth="1" min="6" max="6"/>
    <col width="12" customWidth="1" min="7" max="7"/>
  </cols>
  <sheetData>
    <row r="1">
      <c r="A1" s="1" t="inlineStr">
        <is>
          <t>실별 산출서 - 실마다 면적 A·둘레 L·걸레받이 B를 먼저 정하고, 마감 품목은 그 변수로 계산</t>
        </is>
      </c>
    </row>
    <row r="2">
      <c r="A2" s="2" t="inlineStr">
        <is>
          <t>파란 글씨 = AI가 도면에서 읽은 값. 물량 칸은 수식(변수 셀 참조). 형상 그림은 AI가 읽은 가로×세로로 그린 단순화 도형. 비정형 실은 가산·공제를 산식에 따로 표시.</t>
        </is>
      </c>
    </row>
    <row r="4">
      <c r="A4" s="18" t="inlineStr">
        <is>
          <t>도형</t>
        </is>
      </c>
      <c r="B4" s="18" t="inlineStr">
        <is>
          <t>부위</t>
        </is>
      </c>
      <c r="C4" s="18" t="inlineStr">
        <is>
          <t>품명</t>
        </is>
      </c>
      <c r="D4" s="18" t="inlineStr">
        <is>
          <t>규격</t>
        </is>
      </c>
      <c r="E4" s="18" t="inlineStr">
        <is>
          <t>단위</t>
        </is>
      </c>
      <c r="F4" s="18" t="inlineStr">
        <is>
          <t>산식</t>
        </is>
      </c>
      <c r="G4" s="18" t="inlineStr">
        <is>
          <t>물량</t>
        </is>
      </c>
    </row>
    <row r="5">
      <c r="A5" s="12" t="inlineStr">
        <is>
          <t>실명 : B1 다목적 대회의실</t>
        </is>
      </c>
      <c r="C5" s="12" t="inlineStr">
        <is>
          <t>개소 : 1</t>
        </is>
      </c>
      <c r="F5" s="19" t="inlineStr">
        <is>
          <t>신뢰도 mid</t>
        </is>
      </c>
    </row>
    <row r="6">
      <c r="A6" s="17" t="inlineStr">
        <is>
          <t>A</t>
        </is>
      </c>
      <c r="B6" s="17" t="inlineStr">
        <is>
          <t>(면 적)</t>
        </is>
      </c>
      <c r="C6" s="17" t="n"/>
      <c r="D6" s="17" t="n"/>
      <c r="E6" s="17" t="n"/>
      <c r="F6" s="17" t="inlineStr">
        <is>
          <t>11.160 × 12.000 = 133.920  -9.870&lt;공제 - 산출근거서 No.1&gt;</t>
        </is>
      </c>
      <c r="G6" s="20" t="n">
        <v>124.05</v>
      </c>
    </row>
    <row r="7">
      <c r="A7" s="17" t="inlineStr">
        <is>
          <t>L</t>
        </is>
      </c>
      <c r="B7" s="17" t="inlineStr">
        <is>
          <t>(둘 레)</t>
        </is>
      </c>
      <c r="C7" s="17" t="n"/>
      <c r="D7" s="17" t="n"/>
      <c r="E7" s="17" t="n"/>
      <c r="F7" s="17" t="inlineStr">
        <is>
          <t>비정형 - 사각형 근사 생략</t>
        </is>
      </c>
      <c r="G7" s="21" t="n"/>
    </row>
    <row r="8">
      <c r="A8" s="17" t="inlineStr">
        <is>
          <t>B</t>
        </is>
      </c>
      <c r="B8" s="17" t="inlineStr">
        <is>
          <t>(걸레받이)</t>
        </is>
      </c>
      <c r="C8" s="17" t="n"/>
      <c r="D8" s="17" t="n"/>
      <c r="E8" s="17" t="n"/>
      <c r="F8" s="17" t="inlineStr">
        <is>
          <t>둘레 − 개구부(문·폴딩도어) - 산출근거서 No.1</t>
        </is>
      </c>
      <c r="G8" s="20" t="n">
        <v>38.14</v>
      </c>
    </row>
    <row r="9">
      <c r="A9" s="17" t="inlineStr">
        <is>
          <t>H</t>
        </is>
      </c>
      <c r="B9" s="17" t="inlineStr">
        <is>
          <t>(마감높이)</t>
        </is>
      </c>
      <c r="C9" s="17" t="n"/>
      <c r="D9" s="17" t="n"/>
      <c r="E9" s="17" t="n"/>
      <c r="F9" s="17" t="inlineStr">
        <is>
          <t>바닥 마감 범위 외</t>
        </is>
      </c>
      <c r="G9" s="17" t="n"/>
    </row>
    <row r="10">
      <c r="A10" s="22" t="n"/>
      <c r="B10" s="22" t="inlineStr">
        <is>
          <t>[산 출 범 위]</t>
        </is>
      </c>
      <c r="C10" s="22" t="n"/>
      <c r="D10" s="23" t="n"/>
      <c r="E10" s="23" t="n"/>
      <c r="F10" s="24" t="n"/>
      <c r="G10" s="22" t="n"/>
    </row>
    <row r="11" ht="25" customHeight="1">
      <c r="A11" s="17" t="n"/>
      <c r="B11" s="17" t="inlineStr">
        <is>
          <t>바닥</t>
        </is>
      </c>
      <c r="C11" s="17" t="inlineStr">
        <is>
          <t>타일카펫 깔기 [CT-01]</t>
        </is>
      </c>
      <c r="D11" s="17" t="inlineStr">
        <is>
          <t>타일카펫 610x610</t>
        </is>
      </c>
      <c r="E11" s="17" t="inlineStr">
        <is>
          <t>M2</t>
        </is>
      </c>
      <c r="F11" s="17" t="inlineStr">
        <is>
          <t>A&lt;면적&gt; − 0&lt;기둥 공제&gt;</t>
        </is>
      </c>
      <c r="G11" s="17">
        <f>G6-0</f>
        <v/>
      </c>
    </row>
    <row r="12" ht="25" customHeight="1">
      <c r="A12" s="17" t="n"/>
      <c r="B12" s="17" t="inlineStr">
        <is>
          <t>걸레받이</t>
        </is>
      </c>
      <c r="C12" s="17" t="inlineStr">
        <is>
          <t>걸레받이 설치</t>
        </is>
      </c>
      <c r="D12" s="17" t="inlineStr">
        <is>
          <t>MDF+인테리어필름 T=9, H=30</t>
        </is>
      </c>
      <c r="E12" s="17" t="inlineStr">
        <is>
          <t>M</t>
        </is>
      </c>
      <c r="F12" s="17" t="inlineStr">
        <is>
          <t>B&lt;걸레받이&gt;</t>
        </is>
      </c>
      <c r="G12" s="17">
        <f>G8</f>
        <v/>
      </c>
    </row>
    <row r="13" ht="25" customHeight="1">
      <c r="A13" s="22" t="n"/>
      <c r="B13" s="22" t="inlineStr">
        <is>
          <t>[ 끝 ]</t>
        </is>
      </c>
      <c r="C13" s="22" t="n"/>
      <c r="D13" s="22" t="n"/>
      <c r="E13" s="22" t="n"/>
      <c r="F13" s="22" t="n"/>
      <c r="G13" s="22" t="n"/>
    </row>
    <row r="15">
      <c r="A15" s="18" t="inlineStr">
        <is>
          <t>도형</t>
        </is>
      </c>
      <c r="B15" s="18" t="inlineStr">
        <is>
          <t>부위</t>
        </is>
      </c>
      <c r="C15" s="18" t="inlineStr">
        <is>
          <t>품명</t>
        </is>
      </c>
      <c r="D15" s="18" t="inlineStr">
        <is>
          <t>규격</t>
        </is>
      </c>
      <c r="E15" s="18" t="inlineStr">
        <is>
          <t>단위</t>
        </is>
      </c>
      <c r="F15" s="18" t="inlineStr">
        <is>
          <t>산식</t>
        </is>
      </c>
      <c r="G15" s="18" t="inlineStr">
        <is>
          <t>물량</t>
        </is>
      </c>
    </row>
    <row r="16">
      <c r="A16" s="12" t="inlineStr">
        <is>
          <t>실명 : B1 서고</t>
        </is>
      </c>
      <c r="C16" s="12" t="inlineStr">
        <is>
          <t>개소 : 1</t>
        </is>
      </c>
      <c r="F16" s="19" t="inlineStr">
        <is>
          <t>신뢰도 low</t>
        </is>
      </c>
    </row>
    <row r="17">
      <c r="A17" s="17" t="inlineStr">
        <is>
          <t>A</t>
        </is>
      </c>
      <c r="B17" s="17" t="inlineStr">
        <is>
          <t>(면 적)</t>
        </is>
      </c>
      <c r="C17" s="17" t="n"/>
      <c r="D17" s="17" t="n"/>
      <c r="E17" s="17" t="n"/>
      <c r="F17" s="17" t="inlineStr">
        <is>
          <t>6.930 × 4.560 = 31.601  +3.829&lt;가산 - 산출근거서 No.2&gt;</t>
        </is>
      </c>
      <c r="G17" s="20" t="n">
        <v>35.43</v>
      </c>
    </row>
    <row r="18">
      <c r="A18" s="17" t="inlineStr">
        <is>
          <t>L</t>
        </is>
      </c>
      <c r="B18" s="17" t="inlineStr">
        <is>
          <t>(둘 레)</t>
        </is>
      </c>
      <c r="C18" s="17" t="n"/>
      <c r="D18" s="17" t="n"/>
      <c r="E18" s="17" t="n"/>
      <c r="F18" s="17" t="inlineStr">
        <is>
          <t>비정형 - 사각형 근사 생략</t>
        </is>
      </c>
      <c r="G18" s="21" t="n"/>
    </row>
    <row r="19">
      <c r="A19" s="17" t="inlineStr">
        <is>
          <t>B</t>
        </is>
      </c>
      <c r="B19" s="17" t="inlineStr">
        <is>
          <t>(걸레받이)</t>
        </is>
      </c>
      <c r="C19" s="17" t="n"/>
      <c r="D19" s="17" t="n"/>
      <c r="E19" s="17" t="n"/>
      <c r="F19" s="17" t="inlineStr">
        <is>
          <t>둘레 − 개구부(문·폴딩도어) - 산출근거서 No.2</t>
        </is>
      </c>
      <c r="G19" s="20" t="n">
        <v>25.5</v>
      </c>
    </row>
    <row r="20">
      <c r="A20" s="17" t="inlineStr">
        <is>
          <t>H</t>
        </is>
      </c>
      <c r="B20" s="17" t="inlineStr">
        <is>
          <t>(마감높이)</t>
        </is>
      </c>
      <c r="C20" s="17" t="n"/>
      <c r="D20" s="17" t="n"/>
      <c r="E20" s="17" t="n"/>
      <c r="F20" s="17" t="inlineStr">
        <is>
          <t>바닥 마감 범위 외</t>
        </is>
      </c>
      <c r="G20" s="17" t="n"/>
    </row>
    <row r="21">
      <c r="A21" s="22" t="n"/>
      <c r="B21" s="22" t="inlineStr">
        <is>
          <t>[산 출 범 위]</t>
        </is>
      </c>
      <c r="C21" s="22" t="n"/>
      <c r="D21" s="23" t="n"/>
      <c r="E21" s="23" t="n"/>
      <c r="F21" s="24" t="n"/>
      <c r="G21" s="22" t="n"/>
    </row>
    <row r="22" ht="25" customHeight="1">
      <c r="A22" s="17" t="n"/>
      <c r="B22" s="17" t="inlineStr">
        <is>
          <t>바닥</t>
        </is>
      </c>
      <c r="C22" s="17" t="inlineStr">
        <is>
          <t>비닐타일 깔기 [DE-01]</t>
        </is>
      </c>
      <c r="D22" s="17" t="inlineStr">
        <is>
          <t>디럭스타일 THK3 (도면 범례 450x450)</t>
        </is>
      </c>
      <c r="E22" s="17" t="inlineStr">
        <is>
          <t>M2</t>
        </is>
      </c>
      <c r="F22" s="17" t="inlineStr">
        <is>
          <t>A&lt;면적&gt; − 0&lt;기둥 공제&gt;</t>
        </is>
      </c>
      <c r="G22" s="17">
        <f>G17-0</f>
        <v/>
      </c>
    </row>
    <row r="23" ht="25" customHeight="1">
      <c r="A23" s="17" t="n"/>
      <c r="B23" s="17" t="inlineStr">
        <is>
          <t>걸레받이</t>
        </is>
      </c>
      <c r="C23" s="17" t="inlineStr">
        <is>
          <t>걸레받이 설치</t>
        </is>
      </c>
      <c r="D23" s="17" t="inlineStr">
        <is>
          <t>MDF+인테리어필름 T=9, H=30</t>
        </is>
      </c>
      <c r="E23" s="17" t="inlineStr">
        <is>
          <t>M</t>
        </is>
      </c>
      <c r="F23" s="17" t="inlineStr">
        <is>
          <t>B&lt;걸레받이&gt;</t>
        </is>
      </c>
      <c r="G23" s="17">
        <f>G19</f>
        <v/>
      </c>
    </row>
    <row r="24" ht="25" customHeight="1">
      <c r="A24" s="22" t="n"/>
      <c r="B24" s="22" t="inlineStr">
        <is>
          <t>[ 끝 ]</t>
        </is>
      </c>
      <c r="C24" s="22" t="n"/>
      <c r="D24" s="22" t="n"/>
      <c r="E24" s="22" t="n"/>
      <c r="F24" s="22" t="n"/>
      <c r="G24" s="22" t="n"/>
    </row>
    <row r="26">
      <c r="A26" s="18" t="inlineStr">
        <is>
          <t>도형</t>
        </is>
      </c>
      <c r="B26" s="18" t="inlineStr">
        <is>
          <t>부위</t>
        </is>
      </c>
      <c r="C26" s="18" t="inlineStr">
        <is>
          <t>품명</t>
        </is>
      </c>
      <c r="D26" s="18" t="inlineStr">
        <is>
          <t>규격</t>
        </is>
      </c>
      <c r="E26" s="18" t="inlineStr">
        <is>
          <t>단위</t>
        </is>
      </c>
      <c r="F26" s="18" t="inlineStr">
        <is>
          <t>산식</t>
        </is>
      </c>
      <c r="G26" s="18" t="inlineStr">
        <is>
          <t>물량</t>
        </is>
      </c>
    </row>
    <row r="27">
      <c r="A27" s="12" t="inlineStr">
        <is>
          <t>실명 : B1 기자실</t>
        </is>
      </c>
      <c r="C27" s="12" t="inlineStr">
        <is>
          <t>개소 : 1</t>
        </is>
      </c>
      <c r="F27" s="19" t="inlineStr">
        <is>
          <t>신뢰도 high</t>
        </is>
      </c>
    </row>
    <row r="28">
      <c r="A28" s="17" t="inlineStr">
        <is>
          <t>A</t>
        </is>
      </c>
      <c r="B28" s="17" t="inlineStr">
        <is>
          <t>(면 적)</t>
        </is>
      </c>
      <c r="C28" s="17" t="n"/>
      <c r="D28" s="17" t="n"/>
      <c r="E28" s="17" t="n"/>
      <c r="F28" s="17" t="inlineStr">
        <is>
          <t>4.100 × 2.950 = 12.095</t>
        </is>
      </c>
      <c r="G28" s="20" t="n">
        <v>12.09</v>
      </c>
    </row>
    <row r="29">
      <c r="A29" s="17" t="inlineStr">
        <is>
          <t>L</t>
        </is>
      </c>
      <c r="B29" s="17" t="inlineStr">
        <is>
          <t>(둘 레)</t>
        </is>
      </c>
      <c r="C29" s="17" t="n"/>
      <c r="D29" s="17" t="n"/>
      <c r="E29" s="17" t="n"/>
      <c r="F29" s="17" t="inlineStr">
        <is>
          <t>2 × (4.100 + 2.950)</t>
        </is>
      </c>
      <c r="G29" s="21">
        <f>ROUND(2*(4.1+2.95),3)</f>
        <v/>
      </c>
    </row>
    <row r="30">
      <c r="A30" s="17" t="inlineStr">
        <is>
          <t>B</t>
        </is>
      </c>
      <c r="B30" s="17" t="inlineStr">
        <is>
          <t>(걸레받이)</t>
        </is>
      </c>
      <c r="C30" s="17" t="n"/>
      <c r="D30" s="17" t="n"/>
      <c r="E30" s="17" t="n"/>
      <c r="F30" s="17" t="inlineStr">
        <is>
          <t>둘레 − 개구부(문·폴딩도어) - 산출근거서 No.3</t>
        </is>
      </c>
      <c r="G30" s="20" t="n">
        <v>13.1</v>
      </c>
    </row>
    <row r="31">
      <c r="A31" s="17" t="inlineStr">
        <is>
          <t>H</t>
        </is>
      </c>
      <c r="B31" s="17" t="inlineStr">
        <is>
          <t>(마감높이)</t>
        </is>
      </c>
      <c r="C31" s="17" t="n"/>
      <c r="D31" s="17" t="n"/>
      <c r="E31" s="17" t="n"/>
      <c r="F31" s="17" t="inlineStr">
        <is>
          <t>바닥 마감 범위 외</t>
        </is>
      </c>
      <c r="G31" s="17" t="n"/>
    </row>
    <row r="32">
      <c r="A32" s="22" t="n"/>
      <c r="B32" s="22" t="inlineStr">
        <is>
          <t>[산 출 범 위]</t>
        </is>
      </c>
      <c r="C32" s="22" t="n"/>
      <c r="D32" s="23" t="n"/>
      <c r="E32" s="23" t="n"/>
      <c r="F32" s="24" t="n"/>
      <c r="G32" s="22" t="n"/>
    </row>
    <row r="33" ht="25" customHeight="1">
      <c r="A33" s="17" t="n"/>
      <c r="B33" s="17" t="inlineStr">
        <is>
          <t>바닥</t>
        </is>
      </c>
      <c r="C33" s="17" t="inlineStr">
        <is>
          <t>비닐타일 깔기 [DE-01]</t>
        </is>
      </c>
      <c r="D33" s="17" t="inlineStr">
        <is>
          <t>디럭스타일 THK3 (도면 범례 450x450)</t>
        </is>
      </c>
      <c r="E33" s="17" t="inlineStr">
        <is>
          <t>M2</t>
        </is>
      </c>
      <c r="F33" s="17" t="inlineStr">
        <is>
          <t>A&lt;면적&gt; − 0&lt;기둥 공제&gt;</t>
        </is>
      </c>
      <c r="G33" s="17">
        <f>G28-0</f>
        <v/>
      </c>
    </row>
    <row r="34" ht="25" customHeight="1">
      <c r="A34" s="17" t="n"/>
      <c r="B34" s="17" t="inlineStr">
        <is>
          <t>걸레받이</t>
        </is>
      </c>
      <c r="C34" s="17" t="inlineStr">
        <is>
          <t>걸레받이 설치</t>
        </is>
      </c>
      <c r="D34" s="17" t="inlineStr">
        <is>
          <t>MDF+인테리어필름 T=9, H=30</t>
        </is>
      </c>
      <c r="E34" s="17" t="inlineStr">
        <is>
          <t>M</t>
        </is>
      </c>
      <c r="F34" s="17" t="inlineStr">
        <is>
          <t>B&lt;걸레받이&gt;</t>
        </is>
      </c>
      <c r="G34" s="17">
        <f>G30</f>
        <v/>
      </c>
    </row>
    <row r="35" ht="25" customHeight="1">
      <c r="A35" s="22" t="n"/>
      <c r="B35" s="22" t="inlineStr">
        <is>
          <t>[ 끝 ]</t>
        </is>
      </c>
      <c r="C35" s="22" t="n"/>
      <c r="D35" s="22" t="n"/>
      <c r="E35" s="22" t="n"/>
      <c r="F35" s="22" t="n"/>
      <c r="G35" s="22" t="n"/>
    </row>
    <row r="37">
      <c r="A37" s="18" t="inlineStr">
        <is>
          <t>도형</t>
        </is>
      </c>
      <c r="B37" s="18" t="inlineStr">
        <is>
          <t>부위</t>
        </is>
      </c>
      <c r="C37" s="18" t="inlineStr">
        <is>
          <t>품명</t>
        </is>
      </c>
      <c r="D37" s="18" t="inlineStr">
        <is>
          <t>규격</t>
        </is>
      </c>
      <c r="E37" s="18" t="inlineStr">
        <is>
          <t>단위</t>
        </is>
      </c>
      <c r="F37" s="18" t="inlineStr">
        <is>
          <t>산식</t>
        </is>
      </c>
      <c r="G37" s="18" t="inlineStr">
        <is>
          <t>물량</t>
        </is>
      </c>
    </row>
    <row r="38">
      <c r="A38" s="12" t="inlineStr">
        <is>
          <t>실명 : B1 기사대기실</t>
        </is>
      </c>
      <c r="C38" s="12" t="inlineStr">
        <is>
          <t>개소 : 1</t>
        </is>
      </c>
      <c r="F38" s="19" t="inlineStr">
        <is>
          <t>신뢰도 mid</t>
        </is>
      </c>
    </row>
    <row r="39">
      <c r="A39" s="17" t="inlineStr">
        <is>
          <t>A</t>
        </is>
      </c>
      <c r="B39" s="17" t="inlineStr">
        <is>
          <t>(면 적)</t>
        </is>
      </c>
      <c r="C39" s="17" t="n"/>
      <c r="D39" s="17" t="n"/>
      <c r="E39" s="17" t="n"/>
      <c r="F39" s="17" t="inlineStr">
        <is>
          <t>2.000 × 2.050 = 4.100</t>
        </is>
      </c>
      <c r="G39" s="20" t="n">
        <v>4.1</v>
      </c>
    </row>
    <row r="40">
      <c r="A40" s="17" t="inlineStr">
        <is>
          <t>L</t>
        </is>
      </c>
      <c r="B40" s="17" t="inlineStr">
        <is>
          <t>(둘 레)</t>
        </is>
      </c>
      <c r="C40" s="17" t="n"/>
      <c r="D40" s="17" t="n"/>
      <c r="E40" s="17" t="n"/>
      <c r="F40" s="17" t="inlineStr">
        <is>
          <t>2 × (2.000 + 2.050)</t>
        </is>
      </c>
      <c r="G40" s="21">
        <f>ROUND(2*(2.0+2.05),3)</f>
        <v/>
      </c>
    </row>
    <row r="41">
      <c r="A41" s="17" t="inlineStr">
        <is>
          <t>B</t>
        </is>
      </c>
      <c r="B41" s="17" t="inlineStr">
        <is>
          <t>(걸레받이)</t>
        </is>
      </c>
      <c r="C41" s="17" t="n"/>
      <c r="D41" s="17" t="n"/>
      <c r="E41" s="17" t="n"/>
      <c r="F41" s="17" t="inlineStr">
        <is>
          <t>둘레 − 개구부(문·폴딩도어) - 산출근거서 No.4</t>
        </is>
      </c>
      <c r="G41" s="20" t="n">
        <v>7.16</v>
      </c>
    </row>
    <row r="42">
      <c r="A42" s="17" t="inlineStr">
        <is>
          <t>H</t>
        </is>
      </c>
      <c r="B42" s="17" t="inlineStr">
        <is>
          <t>(마감높이)</t>
        </is>
      </c>
      <c r="C42" s="17" t="n"/>
      <c r="D42" s="17" t="n"/>
      <c r="E42" s="17" t="n"/>
      <c r="F42" s="17" t="inlineStr">
        <is>
          <t>바닥 마감 범위 외</t>
        </is>
      </c>
      <c r="G42" s="17" t="n"/>
    </row>
    <row r="43">
      <c r="A43" s="22" t="n"/>
      <c r="B43" s="22" t="inlineStr">
        <is>
          <t>[산 출 범 위]</t>
        </is>
      </c>
      <c r="C43" s="22" t="n"/>
      <c r="D43" s="23" t="n"/>
      <c r="E43" s="23" t="n"/>
      <c r="F43" s="24" t="n"/>
      <c r="G43" s="22" t="n"/>
    </row>
    <row r="44" ht="25" customHeight="1">
      <c r="A44" s="17" t="n"/>
      <c r="B44" s="17" t="inlineStr">
        <is>
          <t>바닥</t>
        </is>
      </c>
      <c r="C44" s="17" t="inlineStr">
        <is>
          <t>비닐타일 깔기 [DE-01]</t>
        </is>
      </c>
      <c r="D44" s="17" t="inlineStr">
        <is>
          <t>디럭스타일 THK3 (도면 범례 450x450)</t>
        </is>
      </c>
      <c r="E44" s="17" t="inlineStr">
        <is>
          <t>M2</t>
        </is>
      </c>
      <c r="F44" s="17" t="inlineStr">
        <is>
          <t>A&lt;면적&gt; − 0&lt;기둥 공제&gt;</t>
        </is>
      </c>
      <c r="G44" s="17">
        <f>G39-0</f>
        <v/>
      </c>
    </row>
    <row r="45" ht="25" customHeight="1">
      <c r="A45" s="17" t="n"/>
      <c r="B45" s="17" t="inlineStr">
        <is>
          <t>걸레받이</t>
        </is>
      </c>
      <c r="C45" s="17" t="inlineStr">
        <is>
          <t>걸레받이 설치</t>
        </is>
      </c>
      <c r="D45" s="17" t="inlineStr">
        <is>
          <t>MDF+인테리어필름 T=9, H=30</t>
        </is>
      </c>
      <c r="E45" s="17" t="inlineStr">
        <is>
          <t>M</t>
        </is>
      </c>
      <c r="F45" s="17" t="inlineStr">
        <is>
          <t>B&lt;걸레받이&gt;</t>
        </is>
      </c>
      <c r="G45" s="17">
        <f>G41</f>
        <v/>
      </c>
    </row>
    <row r="46" ht="25" customHeight="1">
      <c r="A46" s="22" t="n"/>
      <c r="B46" s="22" t="inlineStr">
        <is>
          <t>[ 끝 ]</t>
        </is>
      </c>
      <c r="C46" s="22" t="n"/>
      <c r="D46" s="22" t="n"/>
      <c r="E46" s="22" t="n"/>
      <c r="F46" s="22" t="n"/>
      <c r="G46" s="22" t="n"/>
    </row>
    <row r="48">
      <c r="A48" s="18" t="inlineStr">
        <is>
          <t>도형</t>
        </is>
      </c>
      <c r="B48" s="18" t="inlineStr">
        <is>
          <t>부위</t>
        </is>
      </c>
      <c r="C48" s="18" t="inlineStr">
        <is>
          <t>품명</t>
        </is>
      </c>
      <c r="D48" s="18" t="inlineStr">
        <is>
          <t>규격</t>
        </is>
      </c>
      <c r="E48" s="18" t="inlineStr">
        <is>
          <t>단위</t>
        </is>
      </c>
      <c r="F48" s="18" t="inlineStr">
        <is>
          <t>산식</t>
        </is>
      </c>
      <c r="G48" s="18" t="inlineStr">
        <is>
          <t>물량</t>
        </is>
      </c>
    </row>
    <row r="49">
      <c r="A49" s="12" t="inlineStr">
        <is>
          <t>실명 : B1 창고</t>
        </is>
      </c>
      <c r="C49" s="12" t="inlineStr">
        <is>
          <t>개소 : 1</t>
        </is>
      </c>
      <c r="F49" s="19" t="inlineStr">
        <is>
          <t>신뢰도 low</t>
        </is>
      </c>
    </row>
    <row r="50">
      <c r="A50" s="17" t="inlineStr">
        <is>
          <t>A</t>
        </is>
      </c>
      <c r="B50" s="17" t="inlineStr">
        <is>
          <t>(면 적)</t>
        </is>
      </c>
      <c r="C50" s="17" t="n"/>
      <c r="D50" s="17" t="n"/>
      <c r="E50" s="17" t="n"/>
      <c r="F50" s="17" t="inlineStr">
        <is>
          <t>1.700 × 2.850 = 4.845</t>
        </is>
      </c>
      <c r="G50" s="20" t="n">
        <v>4.84</v>
      </c>
    </row>
    <row r="51">
      <c r="A51" s="17" t="inlineStr">
        <is>
          <t>L</t>
        </is>
      </c>
      <c r="B51" s="17" t="inlineStr">
        <is>
          <t>(둘 레)</t>
        </is>
      </c>
      <c r="C51" s="17" t="n"/>
      <c r="D51" s="17" t="n"/>
      <c r="E51" s="17" t="n"/>
      <c r="F51" s="17" t="inlineStr">
        <is>
          <t>2 × (1.700 + 2.850)</t>
        </is>
      </c>
      <c r="G51" s="21">
        <f>ROUND(2*(1.7+2.85),3)</f>
        <v/>
      </c>
    </row>
    <row r="52">
      <c r="A52" s="17" t="inlineStr">
        <is>
          <t>B</t>
        </is>
      </c>
      <c r="B52" s="17" t="inlineStr">
        <is>
          <t>(걸레받이)</t>
        </is>
      </c>
      <c r="C52" s="17" t="n"/>
      <c r="D52" s="17" t="n"/>
      <c r="E52" s="17" t="n"/>
      <c r="F52" s="17" t="inlineStr">
        <is>
          <t>둘레 − 개구부(문·폴딩도어) - 산출근거서 No.5</t>
        </is>
      </c>
      <c r="G52" s="20" t="n">
        <v>8.1</v>
      </c>
    </row>
    <row r="53">
      <c r="A53" s="17" t="inlineStr">
        <is>
          <t>H</t>
        </is>
      </c>
      <c r="B53" s="17" t="inlineStr">
        <is>
          <t>(마감높이)</t>
        </is>
      </c>
      <c r="C53" s="17" t="n"/>
      <c r="D53" s="17" t="n"/>
      <c r="E53" s="17" t="n"/>
      <c r="F53" s="17" t="inlineStr">
        <is>
          <t>바닥 마감 범위 외</t>
        </is>
      </c>
      <c r="G53" s="17" t="n"/>
    </row>
    <row r="54">
      <c r="A54" s="22" t="n"/>
      <c r="B54" s="22" t="inlineStr">
        <is>
          <t>[산 출 범 위]</t>
        </is>
      </c>
      <c r="C54" s="22" t="n"/>
      <c r="D54" s="23" t="n"/>
      <c r="E54" s="23" t="n"/>
      <c r="F54" s="24" t="n"/>
      <c r="G54" s="22" t="n"/>
    </row>
    <row r="55" ht="25" customHeight="1">
      <c r="A55" s="17" t="n"/>
      <c r="B55" s="17" t="inlineStr">
        <is>
          <t>바닥</t>
        </is>
      </c>
      <c r="C55" s="17" t="inlineStr">
        <is>
          <t>비닐타일 깔기 [DE-01]</t>
        </is>
      </c>
      <c r="D55" s="17" t="inlineStr">
        <is>
          <t>디럭스타일 THK3 (도면 범례 450x450)</t>
        </is>
      </c>
      <c r="E55" s="17" t="inlineStr">
        <is>
          <t>M2</t>
        </is>
      </c>
      <c r="F55" s="17" t="inlineStr">
        <is>
          <t>A&lt;면적&gt; − 0&lt;기둥 공제&gt;</t>
        </is>
      </c>
      <c r="G55" s="17">
        <f>G50-0</f>
        <v/>
      </c>
    </row>
    <row r="56" ht="25" customHeight="1">
      <c r="A56" s="17" t="n"/>
      <c r="B56" s="17" t="inlineStr">
        <is>
          <t>걸레받이</t>
        </is>
      </c>
      <c r="C56" s="17" t="inlineStr">
        <is>
          <t>걸레받이 설치</t>
        </is>
      </c>
      <c r="D56" s="17" t="inlineStr">
        <is>
          <t>MDF+인테리어필름 T=9, H=30</t>
        </is>
      </c>
      <c r="E56" s="17" t="inlineStr">
        <is>
          <t>M</t>
        </is>
      </c>
      <c r="F56" s="17" t="inlineStr">
        <is>
          <t>B&lt;걸레받이&gt;</t>
        </is>
      </c>
      <c r="G56" s="17">
        <f>G52</f>
        <v/>
      </c>
    </row>
    <row r="57" ht="25" customHeight="1">
      <c r="A57" s="22" t="n"/>
      <c r="B57" s="22" t="inlineStr">
        <is>
          <t>[ 끝 ]</t>
        </is>
      </c>
      <c r="C57" s="22" t="n"/>
      <c r="D57" s="22" t="n"/>
      <c r="E57" s="22" t="n"/>
      <c r="F57" s="22" t="n"/>
      <c r="G57" s="22" t="n"/>
    </row>
    <row r="59">
      <c r="A59" s="18" t="inlineStr">
        <is>
          <t>도형</t>
        </is>
      </c>
      <c r="B59" s="18" t="inlineStr">
        <is>
          <t>부위</t>
        </is>
      </c>
      <c r="C59" s="18" t="inlineStr">
        <is>
          <t>품명</t>
        </is>
      </c>
      <c r="D59" s="18" t="inlineStr">
        <is>
          <t>규격</t>
        </is>
      </c>
      <c r="E59" s="18" t="inlineStr">
        <is>
          <t>단위</t>
        </is>
      </c>
      <c r="F59" s="18" t="inlineStr">
        <is>
          <t>산식</t>
        </is>
      </c>
      <c r="G59" s="18" t="inlineStr">
        <is>
          <t>물량</t>
        </is>
      </c>
    </row>
    <row r="60">
      <c r="A60" s="12" t="inlineStr">
        <is>
          <t>실명 : B1 이사장실</t>
        </is>
      </c>
      <c r="C60" s="12" t="inlineStr">
        <is>
          <t>개소 : 1</t>
        </is>
      </c>
      <c r="F60" s="19" t="inlineStr">
        <is>
          <t>신뢰도 mid</t>
        </is>
      </c>
    </row>
    <row r="61">
      <c r="A61" s="17" t="inlineStr">
        <is>
          <t>A</t>
        </is>
      </c>
      <c r="B61" s="17" t="inlineStr">
        <is>
          <t>(면 적)</t>
        </is>
      </c>
      <c r="C61" s="17" t="n"/>
      <c r="D61" s="17" t="n"/>
      <c r="E61" s="17" t="n"/>
      <c r="F61" s="17" t="inlineStr">
        <is>
          <t>2.849 × 2.495 = 7.108</t>
        </is>
      </c>
      <c r="G61" s="20" t="n">
        <v>7.11</v>
      </c>
    </row>
    <row r="62">
      <c r="A62" s="17" t="inlineStr">
        <is>
          <t>L</t>
        </is>
      </c>
      <c r="B62" s="17" t="inlineStr">
        <is>
          <t>(둘 레)</t>
        </is>
      </c>
      <c r="C62" s="17" t="n"/>
      <c r="D62" s="17" t="n"/>
      <c r="E62" s="17" t="n"/>
      <c r="F62" s="17" t="inlineStr">
        <is>
          <t>2 × (2.849 + 2.495)</t>
        </is>
      </c>
      <c r="G62" s="21">
        <f>ROUND(2*(2.849+2.495),3)</f>
        <v/>
      </c>
    </row>
    <row r="63">
      <c r="A63" s="17" t="inlineStr">
        <is>
          <t>B</t>
        </is>
      </c>
      <c r="B63" s="17" t="inlineStr">
        <is>
          <t>(걸레받이)</t>
        </is>
      </c>
      <c r="C63" s="17" t="n"/>
      <c r="D63" s="17" t="n"/>
      <c r="E63" s="17" t="n"/>
      <c r="F63" s="17" t="inlineStr">
        <is>
          <t>둘레 − 개구부(문·폴딩도어) - 산출근거서 No.6</t>
        </is>
      </c>
      <c r="G63" s="20" t="n">
        <v>8.19</v>
      </c>
    </row>
    <row r="64">
      <c r="A64" s="17" t="inlineStr">
        <is>
          <t>H</t>
        </is>
      </c>
      <c r="B64" s="17" t="inlineStr">
        <is>
          <t>(마감높이)</t>
        </is>
      </c>
      <c r="C64" s="17" t="n"/>
      <c r="D64" s="17" t="n"/>
      <c r="E64" s="17" t="n"/>
      <c r="F64" s="17" t="inlineStr">
        <is>
          <t>바닥 마감 범위 외</t>
        </is>
      </c>
      <c r="G64" s="17" t="n"/>
    </row>
    <row r="65">
      <c r="A65" s="22" t="n"/>
      <c r="B65" s="22" t="inlineStr">
        <is>
          <t>[산 출 범 위]</t>
        </is>
      </c>
      <c r="C65" s="22" t="n"/>
      <c r="D65" s="23" t="n"/>
      <c r="E65" s="23" t="n"/>
      <c r="F65" s="24" t="n"/>
      <c r="G65" s="22" t="n"/>
    </row>
    <row r="66" ht="25" customHeight="1">
      <c r="A66" s="17" t="n"/>
      <c r="B66" s="17" t="inlineStr">
        <is>
          <t>바닥</t>
        </is>
      </c>
      <c r="C66" s="17" t="inlineStr">
        <is>
          <t>비닐타일 깔기 [DT-01]</t>
        </is>
      </c>
      <c r="D66" s="17" t="inlineStr">
        <is>
          <t>데코타일 (MATERIAL LIST 600x600 T5)</t>
        </is>
      </c>
      <c r="E66" s="17" t="inlineStr">
        <is>
          <t>M2</t>
        </is>
      </c>
      <c r="F66" s="17" t="inlineStr">
        <is>
          <t>A&lt;면적&gt; − 0&lt;기둥 공제&gt;</t>
        </is>
      </c>
      <c r="G66" s="17">
        <f>G61-0</f>
        <v/>
      </c>
    </row>
    <row r="67" ht="25" customHeight="1">
      <c r="A67" s="17" t="n"/>
      <c r="B67" s="17" t="inlineStr">
        <is>
          <t>걸레받이</t>
        </is>
      </c>
      <c r="C67" s="17" t="inlineStr">
        <is>
          <t>걸레받이 설치</t>
        </is>
      </c>
      <c r="D67" s="17" t="inlineStr">
        <is>
          <t>MDF+인테리어필름 T=9, H=30</t>
        </is>
      </c>
      <c r="E67" s="17" t="inlineStr">
        <is>
          <t>M</t>
        </is>
      </c>
      <c r="F67" s="17" t="inlineStr">
        <is>
          <t>B&lt;걸레받이&gt;</t>
        </is>
      </c>
      <c r="G67" s="17">
        <f>G63</f>
        <v/>
      </c>
    </row>
    <row r="68" ht="25" customHeight="1">
      <c r="A68" s="22" t="n"/>
      <c r="B68" s="22" t="inlineStr">
        <is>
          <t>[ 끝 ]</t>
        </is>
      </c>
      <c r="C68" s="22" t="n"/>
      <c r="D68" s="22" t="n"/>
      <c r="E68" s="22" t="n"/>
      <c r="F68" s="22" t="n"/>
      <c r="G68" s="22" t="n"/>
    </row>
    <row r="70">
      <c r="A70" s="18" t="inlineStr">
        <is>
          <t>도형</t>
        </is>
      </c>
      <c r="B70" s="18" t="inlineStr">
        <is>
          <t>부위</t>
        </is>
      </c>
      <c r="C70" s="18" t="inlineStr">
        <is>
          <t>품명</t>
        </is>
      </c>
      <c r="D70" s="18" t="inlineStr">
        <is>
          <t>규격</t>
        </is>
      </c>
      <c r="E70" s="18" t="inlineStr">
        <is>
          <t>단위</t>
        </is>
      </c>
      <c r="F70" s="18" t="inlineStr">
        <is>
          <t>산식</t>
        </is>
      </c>
      <c r="G70" s="18" t="inlineStr">
        <is>
          <t>물량</t>
        </is>
      </c>
    </row>
    <row r="71">
      <c r="A71" s="12" t="inlineStr">
        <is>
          <t>실명 : B1 법률구조재단</t>
        </is>
      </c>
      <c r="C71" s="12" t="inlineStr">
        <is>
          <t>개소 : 1</t>
        </is>
      </c>
      <c r="F71" s="19" t="inlineStr">
        <is>
          <t>신뢰도 mid</t>
        </is>
      </c>
    </row>
    <row r="72">
      <c r="A72" s="17" t="inlineStr">
        <is>
          <t>A</t>
        </is>
      </c>
      <c r="B72" s="17" t="inlineStr">
        <is>
          <t>(면 적)</t>
        </is>
      </c>
      <c r="C72" s="17" t="n"/>
      <c r="D72" s="17" t="n"/>
      <c r="E72" s="17" t="n"/>
      <c r="F72" s="17" t="inlineStr">
        <is>
          <t>7.845 × 5.450 = 42.755  -11.185&lt;공제 - 산출근거서 No.7&gt;</t>
        </is>
      </c>
      <c r="G72" s="20" t="n">
        <v>31.57</v>
      </c>
    </row>
    <row r="73">
      <c r="A73" s="17" t="inlineStr">
        <is>
          <t>L</t>
        </is>
      </c>
      <c r="B73" s="17" t="inlineStr">
        <is>
          <t>(둘 레)</t>
        </is>
      </c>
      <c r="C73" s="17" t="n"/>
      <c r="D73" s="17" t="n"/>
      <c r="E73" s="17" t="n"/>
      <c r="F73" s="17" t="inlineStr">
        <is>
          <t>비정형 - 사각형 근사 생략</t>
        </is>
      </c>
      <c r="G73" s="21" t="n"/>
    </row>
    <row r="74">
      <c r="A74" s="17" t="inlineStr">
        <is>
          <t>B</t>
        </is>
      </c>
      <c r="B74" s="17" t="inlineStr">
        <is>
          <t>(걸레받이)</t>
        </is>
      </c>
      <c r="C74" s="17" t="n"/>
      <c r="D74" s="17" t="n"/>
      <c r="E74" s="17" t="n"/>
      <c r="F74" s="17" t="inlineStr">
        <is>
          <t>둘레 − 개구부(문·폴딩도어) - 산출근거서 No.7</t>
        </is>
      </c>
      <c r="G74" s="20" t="n">
        <v>22.22</v>
      </c>
    </row>
    <row r="75">
      <c r="A75" s="17" t="inlineStr">
        <is>
          <t>H</t>
        </is>
      </c>
      <c r="B75" s="17" t="inlineStr">
        <is>
          <t>(마감높이)</t>
        </is>
      </c>
      <c r="C75" s="17" t="n"/>
      <c r="D75" s="17" t="n"/>
      <c r="E75" s="17" t="n"/>
      <c r="F75" s="17" t="inlineStr">
        <is>
          <t>바닥 마감 범위 외</t>
        </is>
      </c>
      <c r="G75" s="17" t="n"/>
    </row>
    <row r="76">
      <c r="A76" s="22" t="n"/>
      <c r="B76" s="22" t="inlineStr">
        <is>
          <t>[산 출 범 위]</t>
        </is>
      </c>
      <c r="C76" s="22" t="n"/>
      <c r="D76" s="23" t="n"/>
      <c r="E76" s="23" t="n"/>
      <c r="F76" s="24" t="n"/>
      <c r="G76" s="22" t="n"/>
    </row>
    <row r="77" ht="25" customHeight="1">
      <c r="A77" s="17" t="n"/>
      <c r="B77" s="17" t="inlineStr">
        <is>
          <t>바닥</t>
        </is>
      </c>
      <c r="C77" s="17" t="inlineStr">
        <is>
          <t>비닐타일 깔기 [DT-01]</t>
        </is>
      </c>
      <c r="D77" s="17" t="inlineStr">
        <is>
          <t>데코타일 (MATERIAL LIST 600x600 T5)</t>
        </is>
      </c>
      <c r="E77" s="17" t="inlineStr">
        <is>
          <t>M2</t>
        </is>
      </c>
      <c r="F77" s="17" t="inlineStr">
        <is>
          <t>A&lt;면적&gt; − 0&lt;기둥 공제&gt;</t>
        </is>
      </c>
      <c r="G77" s="17">
        <f>G72-0</f>
        <v/>
      </c>
    </row>
    <row r="78" ht="25" customHeight="1">
      <c r="A78" s="17" t="n"/>
      <c r="B78" s="17" t="inlineStr">
        <is>
          <t>걸레받이</t>
        </is>
      </c>
      <c r="C78" s="17" t="inlineStr">
        <is>
          <t>걸레받이 설치</t>
        </is>
      </c>
      <c r="D78" s="17" t="inlineStr">
        <is>
          <t>MDF+인테리어필름 T=9, H=30</t>
        </is>
      </c>
      <c r="E78" s="17" t="inlineStr">
        <is>
          <t>M</t>
        </is>
      </c>
      <c r="F78" s="17" t="inlineStr">
        <is>
          <t>B&lt;걸레받이&gt;</t>
        </is>
      </c>
      <c r="G78" s="17">
        <f>G74</f>
        <v/>
      </c>
    </row>
    <row r="79" ht="25" customHeight="1">
      <c r="A79" s="22" t="n"/>
      <c r="B79" s="22" t="inlineStr">
        <is>
          <t>[ 끝 ]</t>
        </is>
      </c>
      <c r="C79" s="22" t="n"/>
      <c r="D79" s="22" t="n"/>
      <c r="E79" s="22" t="n"/>
      <c r="F79" s="22" t="n"/>
      <c r="G79" s="22" t="n"/>
    </row>
    <row r="81">
      <c r="A81" s="18" t="inlineStr">
        <is>
          <t>도형</t>
        </is>
      </c>
      <c r="B81" s="18" t="inlineStr">
        <is>
          <t>부위</t>
        </is>
      </c>
      <c r="C81" s="18" t="inlineStr">
        <is>
          <t>품명</t>
        </is>
      </c>
      <c r="D81" s="18" t="inlineStr">
        <is>
          <t>규격</t>
        </is>
      </c>
      <c r="E81" s="18" t="inlineStr">
        <is>
          <t>단위</t>
        </is>
      </c>
      <c r="F81" s="18" t="inlineStr">
        <is>
          <t>산식</t>
        </is>
      </c>
      <c r="G81" s="18" t="inlineStr">
        <is>
          <t>물량</t>
        </is>
      </c>
    </row>
    <row r="82">
      <c r="A82" s="12" t="inlineStr">
        <is>
          <t>실명 : 2F 여직원휴게실(수유실)</t>
        </is>
      </c>
      <c r="C82" s="12" t="inlineStr">
        <is>
          <t>개소 : 1</t>
        </is>
      </c>
      <c r="F82" s="19" t="inlineStr">
        <is>
          <t>신뢰도 mid</t>
        </is>
      </c>
    </row>
    <row r="83">
      <c r="A83" s="17" t="inlineStr">
        <is>
          <t>A</t>
        </is>
      </c>
      <c r="B83" s="17" t="inlineStr">
        <is>
          <t>(면 적)</t>
        </is>
      </c>
      <c r="C83" s="17" t="n"/>
      <c r="D83" s="17" t="n"/>
      <c r="E83" s="17" t="n"/>
      <c r="F83" s="17" t="inlineStr">
        <is>
          <t>2.196 × 4.045 = 8.883  -0.333&lt;공제 - 산출근거서 No.8&gt;</t>
        </is>
      </c>
      <c r="G83" s="20" t="n">
        <v>8.550000000000001</v>
      </c>
    </row>
    <row r="84">
      <c r="A84" s="17" t="inlineStr">
        <is>
          <t>L</t>
        </is>
      </c>
      <c r="B84" s="17" t="inlineStr">
        <is>
          <t>(둘 레)</t>
        </is>
      </c>
      <c r="C84" s="17" t="n"/>
      <c r="D84" s="17" t="n"/>
      <c r="E84" s="17" t="n"/>
      <c r="F84" s="17" t="inlineStr">
        <is>
          <t>비정형 - 사각형 근사 생략</t>
        </is>
      </c>
      <c r="G84" s="21" t="n"/>
    </row>
    <row r="85">
      <c r="A85" s="17" t="inlineStr">
        <is>
          <t>B</t>
        </is>
      </c>
      <c r="B85" s="17" t="inlineStr">
        <is>
          <t>(걸레받이)</t>
        </is>
      </c>
      <c r="C85" s="17" t="n"/>
      <c r="D85" s="17" t="n"/>
      <c r="E85" s="17" t="n"/>
      <c r="F85" s="17" t="inlineStr">
        <is>
          <t>둘레 − 개구부(문·폴딩도어) - 산출근거서 No.8</t>
        </is>
      </c>
      <c r="G85" s="20" t="n">
        <v>11.5</v>
      </c>
    </row>
    <row r="86">
      <c r="A86" s="17" t="inlineStr">
        <is>
          <t>H</t>
        </is>
      </c>
      <c r="B86" s="17" t="inlineStr">
        <is>
          <t>(마감높이)</t>
        </is>
      </c>
      <c r="C86" s="17" t="n"/>
      <c r="D86" s="17" t="n"/>
      <c r="E86" s="17" t="n"/>
      <c r="F86" s="17" t="inlineStr">
        <is>
          <t>바닥 마감 범위 외</t>
        </is>
      </c>
      <c r="G86" s="17" t="n"/>
    </row>
    <row r="87">
      <c r="A87" s="22" t="n"/>
      <c r="B87" s="22" t="inlineStr">
        <is>
          <t>[산 출 범 위]</t>
        </is>
      </c>
      <c r="C87" s="22" t="n"/>
      <c r="D87" s="23" t="n"/>
      <c r="E87" s="23" t="n"/>
      <c r="F87" s="24" t="n"/>
      <c r="G87" s="22" t="n"/>
    </row>
    <row r="88" ht="25" customHeight="1">
      <c r="A88" s="17" t="n"/>
      <c r="B88" s="17" t="inlineStr">
        <is>
          <t>바닥</t>
        </is>
      </c>
      <c r="C88" s="17" t="inlineStr">
        <is>
          <t>타일카펫 깔기 [CT-02]</t>
        </is>
      </c>
      <c r="D88" s="17" t="inlineStr">
        <is>
          <t>타일카펫 610x610</t>
        </is>
      </c>
      <c r="E88" s="17" t="inlineStr">
        <is>
          <t>M2</t>
        </is>
      </c>
      <c r="F88" s="17" t="inlineStr">
        <is>
          <t>A&lt;면적&gt; − 0&lt;기둥 공제&gt;</t>
        </is>
      </c>
      <c r="G88" s="17">
        <f>G83-0</f>
        <v/>
      </c>
    </row>
    <row r="89" ht="25" customHeight="1">
      <c r="A89" s="17" t="n"/>
      <c r="B89" s="17" t="inlineStr">
        <is>
          <t>걸레받이</t>
        </is>
      </c>
      <c r="C89" s="17" t="inlineStr">
        <is>
          <t>걸레받이 설치</t>
        </is>
      </c>
      <c r="D89" s="17" t="inlineStr">
        <is>
          <t>MDF+인테리어필름 T=9, H=30</t>
        </is>
      </c>
      <c r="E89" s="17" t="inlineStr">
        <is>
          <t>M</t>
        </is>
      </c>
      <c r="F89" s="17" t="inlineStr">
        <is>
          <t>B&lt;걸레받이&gt;</t>
        </is>
      </c>
      <c r="G89" s="17">
        <f>G85</f>
        <v/>
      </c>
    </row>
    <row r="90" ht="25" customHeight="1">
      <c r="A90" s="22" t="n"/>
      <c r="B90" s="22" t="inlineStr">
        <is>
          <t>[ 끝 ]</t>
        </is>
      </c>
      <c r="C90" s="22" t="n"/>
      <c r="D90" s="22" t="n"/>
      <c r="E90" s="22" t="n"/>
      <c r="F90" s="22" t="n"/>
      <c r="G90" s="22" t="n"/>
    </row>
    <row r="92">
      <c r="A92" s="18" t="inlineStr">
        <is>
          <t>도형</t>
        </is>
      </c>
      <c r="B92" s="18" t="inlineStr">
        <is>
          <t>부위</t>
        </is>
      </c>
      <c r="C92" s="18" t="inlineStr">
        <is>
          <t>품명</t>
        </is>
      </c>
      <c r="D92" s="18" t="inlineStr">
        <is>
          <t>규격</t>
        </is>
      </c>
      <c r="E92" s="18" t="inlineStr">
        <is>
          <t>단위</t>
        </is>
      </c>
      <c r="F92" s="18" t="inlineStr">
        <is>
          <t>산식</t>
        </is>
      </c>
      <c r="G92" s="18" t="inlineStr">
        <is>
          <t>물량</t>
        </is>
      </c>
    </row>
    <row r="93">
      <c r="A93" s="12" t="inlineStr">
        <is>
          <t>실명 : 2F 소회의실-1</t>
        </is>
      </c>
      <c r="C93" s="12" t="inlineStr">
        <is>
          <t>개소 : 1</t>
        </is>
      </c>
      <c r="F93" s="19" t="inlineStr">
        <is>
          <t>신뢰도 mid</t>
        </is>
      </c>
    </row>
    <row r="94">
      <c r="A94" s="17" t="inlineStr">
        <is>
          <t>A</t>
        </is>
      </c>
      <c r="B94" s="17" t="inlineStr">
        <is>
          <t>(면 적)</t>
        </is>
      </c>
      <c r="C94" s="17" t="n"/>
      <c r="D94" s="17" t="n"/>
      <c r="E94" s="17" t="n"/>
      <c r="F94" s="17" t="inlineStr">
        <is>
          <t>3.205 × 3.900 = 12.499  -0.210&lt;공제 - 산출근거서 No.9&gt;</t>
        </is>
      </c>
      <c r="G94" s="20" t="n">
        <v>12.29</v>
      </c>
    </row>
    <row r="95">
      <c r="A95" s="17" t="inlineStr">
        <is>
          <t>L</t>
        </is>
      </c>
      <c r="B95" s="17" t="inlineStr">
        <is>
          <t>(둘 레)</t>
        </is>
      </c>
      <c r="C95" s="17" t="n"/>
      <c r="D95" s="17" t="n"/>
      <c r="E95" s="17" t="n"/>
      <c r="F95" s="17" t="inlineStr">
        <is>
          <t>비정형 - 사각형 근사 생략</t>
        </is>
      </c>
      <c r="G95" s="21" t="n"/>
    </row>
    <row r="96">
      <c r="A96" s="17" t="inlineStr">
        <is>
          <t>B</t>
        </is>
      </c>
      <c r="B96" s="17" t="inlineStr">
        <is>
          <t>(걸레받이)</t>
        </is>
      </c>
      <c r="C96" s="17" t="n"/>
      <c r="D96" s="17" t="n"/>
      <c r="E96" s="17" t="n"/>
      <c r="F96" s="17" t="inlineStr">
        <is>
          <t>둘레 − 개구부(문·폴딩도어) - 산출근거서 No.9</t>
        </is>
      </c>
      <c r="G96" s="20" t="n">
        <v>5.13</v>
      </c>
    </row>
    <row r="97">
      <c r="A97" s="17" t="inlineStr">
        <is>
          <t>H</t>
        </is>
      </c>
      <c r="B97" s="17" t="inlineStr">
        <is>
          <t>(마감높이)</t>
        </is>
      </c>
      <c r="C97" s="17" t="n"/>
      <c r="D97" s="17" t="n"/>
      <c r="E97" s="17" t="n"/>
      <c r="F97" s="17" t="inlineStr">
        <is>
          <t>바닥 마감 범위 외</t>
        </is>
      </c>
      <c r="G97" s="17" t="n"/>
    </row>
    <row r="98">
      <c r="A98" s="22" t="n"/>
      <c r="B98" s="22" t="inlineStr">
        <is>
          <t>[산 출 범 위]</t>
        </is>
      </c>
      <c r="C98" s="22" t="n"/>
      <c r="D98" s="23" t="n"/>
      <c r="E98" s="23" t="n"/>
      <c r="F98" s="24" t="n"/>
      <c r="G98" s="22" t="n"/>
    </row>
    <row r="99" ht="25" customHeight="1">
      <c r="A99" s="17" t="n"/>
      <c r="B99" s="17" t="inlineStr">
        <is>
          <t>바닥</t>
        </is>
      </c>
      <c r="C99" s="17" t="inlineStr">
        <is>
          <t>타일카펫 깔기 [CT-02]</t>
        </is>
      </c>
      <c r="D99" s="17" t="inlineStr">
        <is>
          <t>타일카펫 610x610</t>
        </is>
      </c>
      <c r="E99" s="17" t="inlineStr">
        <is>
          <t>M2</t>
        </is>
      </c>
      <c r="F99" s="17" t="inlineStr">
        <is>
          <t>A&lt;면적&gt; − 0&lt;기둥 공제&gt;</t>
        </is>
      </c>
      <c r="G99" s="17">
        <f>G94-0</f>
        <v/>
      </c>
    </row>
    <row r="100" ht="25" customHeight="1">
      <c r="A100" s="17" t="n"/>
      <c r="B100" s="17" t="inlineStr">
        <is>
          <t>걸레받이</t>
        </is>
      </c>
      <c r="C100" s="17" t="inlineStr">
        <is>
          <t>걸레받이 설치</t>
        </is>
      </c>
      <c r="D100" s="17" t="inlineStr">
        <is>
          <t>MDF+인테리어필름 T=9, H=30</t>
        </is>
      </c>
      <c r="E100" s="17" t="inlineStr">
        <is>
          <t>M</t>
        </is>
      </c>
      <c r="F100" s="17" t="inlineStr">
        <is>
          <t>B&lt;걸레받이&gt;</t>
        </is>
      </c>
      <c r="G100" s="17">
        <f>G96</f>
        <v/>
      </c>
    </row>
    <row r="101" ht="25" customHeight="1">
      <c r="A101" s="22" t="n"/>
      <c r="B101" s="22" t="inlineStr">
        <is>
          <t>[ 끝 ]</t>
        </is>
      </c>
      <c r="C101" s="22" t="n"/>
      <c r="D101" s="22" t="n"/>
      <c r="E101" s="22" t="n"/>
      <c r="F101" s="22" t="n"/>
      <c r="G101" s="22" t="n"/>
    </row>
    <row r="103">
      <c r="A103" s="18" t="inlineStr">
        <is>
          <t>도형</t>
        </is>
      </c>
      <c r="B103" s="18" t="inlineStr">
        <is>
          <t>부위</t>
        </is>
      </c>
      <c r="C103" s="18" t="inlineStr">
        <is>
          <t>품명</t>
        </is>
      </c>
      <c r="D103" s="18" t="inlineStr">
        <is>
          <t>규격</t>
        </is>
      </c>
      <c r="E103" s="18" t="inlineStr">
        <is>
          <t>단위</t>
        </is>
      </c>
      <c r="F103" s="18" t="inlineStr">
        <is>
          <t>산식</t>
        </is>
      </c>
      <c r="G103" s="18" t="inlineStr">
        <is>
          <t>물량</t>
        </is>
      </c>
    </row>
    <row r="104">
      <c r="A104" s="12" t="inlineStr">
        <is>
          <t>실명 : 2F 소회의실-2</t>
        </is>
      </c>
      <c r="C104" s="12" t="inlineStr">
        <is>
          <t>개소 : 1</t>
        </is>
      </c>
      <c r="F104" s="19" t="inlineStr">
        <is>
          <t>신뢰도 mid</t>
        </is>
      </c>
    </row>
    <row r="105">
      <c r="A105" s="17" t="inlineStr">
        <is>
          <t>A</t>
        </is>
      </c>
      <c r="B105" s="17" t="inlineStr">
        <is>
          <t>(면 적)</t>
        </is>
      </c>
      <c r="C105" s="17" t="n"/>
      <c r="D105" s="17" t="n"/>
      <c r="E105" s="17" t="n"/>
      <c r="F105" s="17" t="inlineStr">
        <is>
          <t>3.203 × 3.900 = 12.492</t>
        </is>
      </c>
      <c r="G105" s="20" t="n">
        <v>12.49</v>
      </c>
    </row>
    <row r="106">
      <c r="A106" s="17" t="inlineStr">
        <is>
          <t>L</t>
        </is>
      </c>
      <c r="B106" s="17" t="inlineStr">
        <is>
          <t>(둘 레)</t>
        </is>
      </c>
      <c r="C106" s="17" t="n"/>
      <c r="D106" s="17" t="n"/>
      <c r="E106" s="17" t="n"/>
      <c r="F106" s="17" t="inlineStr">
        <is>
          <t>2 × (3.203 + 3.900)</t>
        </is>
      </c>
      <c r="G106" s="21">
        <f>ROUND(2*(3.203+3.9),3)</f>
        <v/>
      </c>
    </row>
    <row r="107">
      <c r="A107" s="17" t="inlineStr">
        <is>
          <t>B</t>
        </is>
      </c>
      <c r="B107" s="17" t="inlineStr">
        <is>
          <t>(걸레받이)</t>
        </is>
      </c>
      <c r="C107" s="17" t="n"/>
      <c r="D107" s="17" t="n"/>
      <c r="E107" s="17" t="n"/>
      <c r="F107" s="17" t="inlineStr">
        <is>
          <t>둘레 − 개구부(문·폴딩도어) - 산출근거서 No.10</t>
        </is>
      </c>
      <c r="G107" s="20" t="n">
        <v>0</v>
      </c>
    </row>
    <row r="108">
      <c r="A108" s="17" t="inlineStr">
        <is>
          <t>H</t>
        </is>
      </c>
      <c r="B108" s="17" t="inlineStr">
        <is>
          <t>(마감높이)</t>
        </is>
      </c>
      <c r="C108" s="17" t="n"/>
      <c r="D108" s="17" t="n"/>
      <c r="E108" s="17" t="n"/>
      <c r="F108" s="17" t="inlineStr">
        <is>
          <t>바닥 마감 범위 외</t>
        </is>
      </c>
      <c r="G108" s="17" t="n"/>
    </row>
    <row r="109">
      <c r="A109" s="22" t="n"/>
      <c r="B109" s="22" t="inlineStr">
        <is>
          <t>[산 출 범 위]</t>
        </is>
      </c>
      <c r="C109" s="22" t="n"/>
      <c r="D109" s="23" t="n"/>
      <c r="E109" s="23" t="n"/>
      <c r="F109" s="24" t="n"/>
      <c r="G109" s="22" t="n"/>
    </row>
    <row r="110" ht="25" customHeight="1">
      <c r="A110" s="17" t="n"/>
      <c r="B110" s="17" t="inlineStr">
        <is>
          <t>바닥</t>
        </is>
      </c>
      <c r="C110" s="17" t="inlineStr">
        <is>
          <t>타일카펫 깔기 [CT-02]</t>
        </is>
      </c>
      <c r="D110" s="17" t="inlineStr">
        <is>
          <t>타일카펫 610x610</t>
        </is>
      </c>
      <c r="E110" s="17" t="inlineStr">
        <is>
          <t>M2</t>
        </is>
      </c>
      <c r="F110" s="17" t="inlineStr">
        <is>
          <t>A&lt;면적&gt; − 0&lt;기둥 공제&gt;</t>
        </is>
      </c>
      <c r="G110" s="17">
        <f>G105-0</f>
        <v/>
      </c>
    </row>
    <row r="111" ht="25" customHeight="1">
      <c r="A111" s="17" t="n"/>
      <c r="B111" s="17" t="inlineStr">
        <is>
          <t>걸레받이</t>
        </is>
      </c>
      <c r="C111" s="17" t="inlineStr">
        <is>
          <t>걸레받이 설치</t>
        </is>
      </c>
      <c r="D111" s="17" t="inlineStr">
        <is>
          <t>MDF+인테리어필름 T=9, H=30</t>
        </is>
      </c>
      <c r="E111" s="17" t="inlineStr">
        <is>
          <t>M</t>
        </is>
      </c>
      <c r="F111" s="17" t="inlineStr">
        <is>
          <t>B&lt;걸레받이&gt;</t>
        </is>
      </c>
      <c r="G111" s="17">
        <f>G107</f>
        <v/>
      </c>
    </row>
    <row r="112" ht="25" customHeight="1">
      <c r="A112" s="22" t="n"/>
      <c r="B112" s="22" t="inlineStr">
        <is>
          <t>[ 끝 ]</t>
        </is>
      </c>
      <c r="C112" s="22" t="n"/>
      <c r="D112" s="22" t="n"/>
      <c r="E112" s="22" t="n"/>
      <c r="F112" s="22" t="n"/>
      <c r="G112" s="22" t="n"/>
    </row>
    <row r="114">
      <c r="A114" s="18" t="inlineStr">
        <is>
          <t>도형</t>
        </is>
      </c>
      <c r="B114" s="18" t="inlineStr">
        <is>
          <t>부위</t>
        </is>
      </c>
      <c r="C114" s="18" t="inlineStr">
        <is>
          <t>품명</t>
        </is>
      </c>
      <c r="D114" s="18" t="inlineStr">
        <is>
          <t>규격</t>
        </is>
      </c>
      <c r="E114" s="18" t="inlineStr">
        <is>
          <t>단위</t>
        </is>
      </c>
      <c r="F114" s="18" t="inlineStr">
        <is>
          <t>산식</t>
        </is>
      </c>
      <c r="G114" s="18" t="inlineStr">
        <is>
          <t>물량</t>
        </is>
      </c>
    </row>
    <row r="115">
      <c r="A115" s="12" t="inlineStr">
        <is>
          <t>실명 : 2F 소회의실-3</t>
        </is>
      </c>
      <c r="C115" s="12" t="inlineStr">
        <is>
          <t>개소 : 1</t>
        </is>
      </c>
      <c r="F115" s="19" t="inlineStr">
        <is>
          <t>신뢰도 mid</t>
        </is>
      </c>
    </row>
    <row r="116">
      <c r="A116" s="17" t="inlineStr">
        <is>
          <t>A</t>
        </is>
      </c>
      <c r="B116" s="17" t="inlineStr">
        <is>
          <t>(면 적)</t>
        </is>
      </c>
      <c r="C116" s="17" t="n"/>
      <c r="D116" s="17" t="n"/>
      <c r="E116" s="17" t="n"/>
      <c r="F116" s="17" t="inlineStr">
        <is>
          <t>3.203 × 3.900 = 12.492  -0.212&lt;공제 - 산출근거서 No.11&gt;</t>
        </is>
      </c>
      <c r="G116" s="20" t="n">
        <v>12.28</v>
      </c>
    </row>
    <row r="117">
      <c r="A117" s="17" t="inlineStr">
        <is>
          <t>L</t>
        </is>
      </c>
      <c r="B117" s="17" t="inlineStr">
        <is>
          <t>(둘 레)</t>
        </is>
      </c>
      <c r="C117" s="17" t="n"/>
      <c r="D117" s="17" t="n"/>
      <c r="E117" s="17" t="n"/>
      <c r="F117" s="17" t="inlineStr">
        <is>
          <t>비정형 - 사각형 근사 생략</t>
        </is>
      </c>
      <c r="G117" s="21" t="n"/>
    </row>
    <row r="118">
      <c r="A118" s="17" t="inlineStr">
        <is>
          <t>B</t>
        </is>
      </c>
      <c r="B118" s="17" t="inlineStr">
        <is>
          <t>(걸레받이)</t>
        </is>
      </c>
      <c r="C118" s="17" t="n"/>
      <c r="D118" s="17" t="n"/>
      <c r="E118" s="17" t="n"/>
      <c r="F118" s="17" t="inlineStr">
        <is>
          <t>둘레 − 개구부(문·폴딩도어) - 산출근거서 No.11</t>
        </is>
      </c>
      <c r="G118" s="20" t="n">
        <v>3.35</v>
      </c>
    </row>
    <row r="119">
      <c r="A119" s="17" t="inlineStr">
        <is>
          <t>H</t>
        </is>
      </c>
      <c r="B119" s="17" t="inlineStr">
        <is>
          <t>(마감높이)</t>
        </is>
      </c>
      <c r="C119" s="17" t="n"/>
      <c r="D119" s="17" t="n"/>
      <c r="E119" s="17" t="n"/>
      <c r="F119" s="17" t="inlineStr">
        <is>
          <t>바닥 마감 범위 외</t>
        </is>
      </c>
      <c r="G119" s="17" t="n"/>
    </row>
    <row r="120">
      <c r="A120" s="22" t="n"/>
      <c r="B120" s="22" t="inlineStr">
        <is>
          <t>[산 출 범 위]</t>
        </is>
      </c>
      <c r="C120" s="22" t="n"/>
      <c r="D120" s="23" t="n"/>
      <c r="E120" s="23" t="n"/>
      <c r="F120" s="24" t="n"/>
      <c r="G120" s="22" t="n"/>
    </row>
    <row r="121" ht="25" customHeight="1">
      <c r="A121" s="17" t="n"/>
      <c r="B121" s="17" t="inlineStr">
        <is>
          <t>바닥</t>
        </is>
      </c>
      <c r="C121" s="17" t="inlineStr">
        <is>
          <t>타일카펫 깔기 [CT-02]</t>
        </is>
      </c>
      <c r="D121" s="17" t="inlineStr">
        <is>
          <t>타일카펫 610x610</t>
        </is>
      </c>
      <c r="E121" s="17" t="inlineStr">
        <is>
          <t>M2</t>
        </is>
      </c>
      <c r="F121" s="17" t="inlineStr">
        <is>
          <t>A&lt;면적&gt; − 0&lt;기둥 공제&gt;</t>
        </is>
      </c>
      <c r="G121" s="17">
        <f>G116-0</f>
        <v/>
      </c>
    </row>
    <row r="122" ht="25" customHeight="1">
      <c r="A122" s="17" t="n"/>
      <c r="B122" s="17" t="inlineStr">
        <is>
          <t>걸레받이</t>
        </is>
      </c>
      <c r="C122" s="17" t="inlineStr">
        <is>
          <t>걸레받이 설치</t>
        </is>
      </c>
      <c r="D122" s="17" t="inlineStr">
        <is>
          <t>MDF+인테리어필름 T=9, H=30</t>
        </is>
      </c>
      <c r="E122" s="17" t="inlineStr">
        <is>
          <t>M</t>
        </is>
      </c>
      <c r="F122" s="17" t="inlineStr">
        <is>
          <t>B&lt;걸레받이&gt;</t>
        </is>
      </c>
      <c r="G122" s="17">
        <f>G118</f>
        <v/>
      </c>
    </row>
    <row r="123" ht="25" customHeight="1">
      <c r="A123" s="22" t="n"/>
      <c r="B123" s="22" t="inlineStr">
        <is>
          <t>[ 끝 ]</t>
        </is>
      </c>
      <c r="C123" s="22" t="n"/>
      <c r="D123" s="22" t="n"/>
      <c r="E123" s="22" t="n"/>
      <c r="F123" s="22" t="n"/>
      <c r="G123" s="22" t="n"/>
    </row>
    <row r="125">
      <c r="A125" s="18" t="inlineStr">
        <is>
          <t>도형</t>
        </is>
      </c>
      <c r="B125" s="18" t="inlineStr">
        <is>
          <t>부위</t>
        </is>
      </c>
      <c r="C125" s="18" t="inlineStr">
        <is>
          <t>품명</t>
        </is>
      </c>
      <c r="D125" s="18" t="inlineStr">
        <is>
          <t>규격</t>
        </is>
      </c>
      <c r="E125" s="18" t="inlineStr">
        <is>
          <t>단위</t>
        </is>
      </c>
      <c r="F125" s="18" t="inlineStr">
        <is>
          <t>산식</t>
        </is>
      </c>
      <c r="G125" s="18" t="inlineStr">
        <is>
          <t>물량</t>
        </is>
      </c>
    </row>
    <row r="126">
      <c r="A126" s="12" t="inlineStr">
        <is>
          <t>실명 : 2F 금고</t>
        </is>
      </c>
      <c r="C126" s="12" t="inlineStr">
        <is>
          <t>개소 : 1</t>
        </is>
      </c>
      <c r="F126" s="19" t="inlineStr">
        <is>
          <t>신뢰도 mid</t>
        </is>
      </c>
    </row>
    <row r="127">
      <c r="A127" s="17" t="inlineStr">
        <is>
          <t>A</t>
        </is>
      </c>
      <c r="B127" s="17" t="inlineStr">
        <is>
          <t>(면 적)</t>
        </is>
      </c>
      <c r="C127" s="17" t="n"/>
      <c r="D127" s="17" t="n"/>
      <c r="E127" s="17" t="n"/>
      <c r="F127" s="17" t="inlineStr">
        <is>
          <t>1.673 × 3.290 = 5.504</t>
        </is>
      </c>
      <c r="G127" s="20" t="n">
        <v>5.5</v>
      </c>
    </row>
    <row r="128">
      <c r="A128" s="17" t="inlineStr">
        <is>
          <t>L</t>
        </is>
      </c>
      <c r="B128" s="17" t="inlineStr">
        <is>
          <t>(둘 레)</t>
        </is>
      </c>
      <c r="C128" s="17" t="n"/>
      <c r="D128" s="17" t="n"/>
      <c r="E128" s="17" t="n"/>
      <c r="F128" s="17" t="inlineStr">
        <is>
          <t>2 × (1.673 + 3.290)</t>
        </is>
      </c>
      <c r="G128" s="21">
        <f>ROUND(2*(1.673+3.29),3)</f>
        <v/>
      </c>
    </row>
    <row r="129">
      <c r="A129" s="17" t="inlineStr">
        <is>
          <t>B</t>
        </is>
      </c>
      <c r="B129" s="17" t="inlineStr">
        <is>
          <t>(걸레받이)</t>
        </is>
      </c>
      <c r="C129" s="17" t="n"/>
      <c r="D129" s="17" t="n"/>
      <c r="E129" s="17" t="n"/>
      <c r="F129" s="17" t="inlineStr">
        <is>
          <t>둘레 − 개구부(문·폴딩도어) - 산출근거서 No.12</t>
        </is>
      </c>
      <c r="G129" s="20" t="n">
        <v>8.949999999999999</v>
      </c>
    </row>
    <row r="130">
      <c r="A130" s="17" t="inlineStr">
        <is>
          <t>H</t>
        </is>
      </c>
      <c r="B130" s="17" t="inlineStr">
        <is>
          <t>(마감높이)</t>
        </is>
      </c>
      <c r="C130" s="17" t="n"/>
      <c r="D130" s="17" t="n"/>
      <c r="E130" s="17" t="n"/>
      <c r="F130" s="17" t="inlineStr">
        <is>
          <t>바닥 마감 범위 외</t>
        </is>
      </c>
      <c r="G130" s="17" t="n"/>
    </row>
    <row r="131">
      <c r="A131" s="22" t="n"/>
      <c r="B131" s="22" t="inlineStr">
        <is>
          <t>[산 출 범 위]</t>
        </is>
      </c>
      <c r="C131" s="22" t="n"/>
      <c r="D131" s="23" t="n"/>
      <c r="E131" s="23" t="n"/>
      <c r="F131" s="24" t="n"/>
      <c r="G131" s="22" t="n"/>
    </row>
    <row r="132" ht="25" customHeight="1">
      <c r="A132" s="17" t="n"/>
      <c r="B132" s="17" t="inlineStr">
        <is>
          <t>바닥</t>
        </is>
      </c>
      <c r="C132" s="17" t="inlineStr">
        <is>
          <t>비닐타일 깔기 [DE-01]</t>
        </is>
      </c>
      <c r="D132" s="17" t="inlineStr">
        <is>
          <t>디럭스타일 THK3 (도면 범례 450x450)</t>
        </is>
      </c>
      <c r="E132" s="17" t="inlineStr">
        <is>
          <t>M2</t>
        </is>
      </c>
      <c r="F132" s="17" t="inlineStr">
        <is>
          <t>A&lt;면적&gt; − 0&lt;기둥 공제&gt;</t>
        </is>
      </c>
      <c r="G132" s="17">
        <f>G127-0</f>
        <v/>
      </c>
    </row>
    <row r="133" ht="25" customHeight="1">
      <c r="A133" s="17" t="n"/>
      <c r="B133" s="17" t="inlineStr">
        <is>
          <t>걸레받이</t>
        </is>
      </c>
      <c r="C133" s="17" t="inlineStr">
        <is>
          <t>걸레받이 설치</t>
        </is>
      </c>
      <c r="D133" s="17" t="inlineStr">
        <is>
          <t>MDF+인테리어필름 T=9, H=30</t>
        </is>
      </c>
      <c r="E133" s="17" t="inlineStr">
        <is>
          <t>M</t>
        </is>
      </c>
      <c r="F133" s="17" t="inlineStr">
        <is>
          <t>B&lt;걸레받이&gt;</t>
        </is>
      </c>
      <c r="G133" s="17">
        <f>G129</f>
        <v/>
      </c>
    </row>
    <row r="134" ht="25" customHeight="1">
      <c r="A134" s="22" t="n"/>
      <c r="B134" s="22" t="inlineStr">
        <is>
          <t>[ 끝 ]</t>
        </is>
      </c>
      <c r="C134" s="22" t="n"/>
      <c r="D134" s="22" t="n"/>
      <c r="E134" s="22" t="n"/>
      <c r="F134" s="22" t="n"/>
      <c r="G134" s="22" t="n"/>
    </row>
    <row r="136">
      <c r="A136" s="18" t="inlineStr">
        <is>
          <t>도형</t>
        </is>
      </c>
      <c r="B136" s="18" t="inlineStr">
        <is>
          <t>부위</t>
        </is>
      </c>
      <c r="C136" s="18" t="inlineStr">
        <is>
          <t>품명</t>
        </is>
      </c>
      <c r="D136" s="18" t="inlineStr">
        <is>
          <t>규격</t>
        </is>
      </c>
      <c r="E136" s="18" t="inlineStr">
        <is>
          <t>단위</t>
        </is>
      </c>
      <c r="F136" s="18" t="inlineStr">
        <is>
          <t>산식</t>
        </is>
      </c>
      <c r="G136" s="18" t="inlineStr">
        <is>
          <t>물량</t>
        </is>
      </c>
    </row>
    <row r="137">
      <c r="A137" s="12" t="inlineStr">
        <is>
          <t>실명 : 2F O.A RM (서측)</t>
        </is>
      </c>
      <c r="C137" s="12" t="inlineStr">
        <is>
          <t>개소 : 1</t>
        </is>
      </c>
      <c r="F137" s="19" t="inlineStr">
        <is>
          <t>신뢰도 high</t>
        </is>
      </c>
    </row>
    <row r="138">
      <c r="A138" s="17" t="inlineStr">
        <is>
          <t>A</t>
        </is>
      </c>
      <c r="B138" s="17" t="inlineStr">
        <is>
          <t>(면 적)</t>
        </is>
      </c>
      <c r="C138" s="17" t="n"/>
      <c r="D138" s="17" t="n"/>
      <c r="E138" s="17" t="n"/>
      <c r="F138" s="17" t="inlineStr">
        <is>
          <t>1.395 × 4.531 = 6.321</t>
        </is>
      </c>
      <c r="G138" s="20" t="n">
        <v>6.32</v>
      </c>
    </row>
    <row r="139">
      <c r="A139" s="17" t="inlineStr">
        <is>
          <t>L</t>
        </is>
      </c>
      <c r="B139" s="17" t="inlineStr">
        <is>
          <t>(둘 레)</t>
        </is>
      </c>
      <c r="C139" s="17" t="n"/>
      <c r="D139" s="17" t="n"/>
      <c r="E139" s="17" t="n"/>
      <c r="F139" s="17" t="inlineStr">
        <is>
          <t>2 × (1.395 + 4.531)</t>
        </is>
      </c>
      <c r="G139" s="21">
        <f>ROUND(2*(1.395+4.531),3)</f>
        <v/>
      </c>
    </row>
    <row r="140">
      <c r="A140" s="17" t="inlineStr">
        <is>
          <t>B</t>
        </is>
      </c>
      <c r="B140" s="17" t="inlineStr">
        <is>
          <t>(걸레받이)</t>
        </is>
      </c>
      <c r="C140" s="17" t="n"/>
      <c r="D140" s="17" t="n"/>
      <c r="E140" s="17" t="n"/>
      <c r="F140" s="17" t="inlineStr">
        <is>
          <t>둘레 − 개구부(문·폴딩도어) - 산출근거서 No.13</t>
        </is>
      </c>
      <c r="G140" s="20" t="n">
        <v>9.970000000000001</v>
      </c>
    </row>
    <row r="141">
      <c r="A141" s="17" t="inlineStr">
        <is>
          <t>H</t>
        </is>
      </c>
      <c r="B141" s="17" t="inlineStr">
        <is>
          <t>(마감높이)</t>
        </is>
      </c>
      <c r="C141" s="17" t="n"/>
      <c r="D141" s="17" t="n"/>
      <c r="E141" s="17" t="n"/>
      <c r="F141" s="17" t="inlineStr">
        <is>
          <t>바닥 마감 범위 외</t>
        </is>
      </c>
      <c r="G141" s="17" t="n"/>
    </row>
    <row r="142">
      <c r="A142" s="22" t="n"/>
      <c r="B142" s="22" t="inlineStr">
        <is>
          <t>[산 출 범 위]</t>
        </is>
      </c>
      <c r="C142" s="22" t="n"/>
      <c r="D142" s="23" t="n"/>
      <c r="E142" s="23" t="n"/>
      <c r="F142" s="24" t="n"/>
      <c r="G142" s="22" t="n"/>
    </row>
    <row r="143" ht="25" customHeight="1">
      <c r="A143" s="17" t="n"/>
      <c r="B143" s="17" t="inlineStr">
        <is>
          <t>바닥</t>
        </is>
      </c>
      <c r="C143" s="17" t="inlineStr">
        <is>
          <t>비닐타일 깔기 [DT-02]</t>
        </is>
      </c>
      <c r="D143" s="17" t="inlineStr">
        <is>
          <t>데코타일 457x914</t>
        </is>
      </c>
      <c r="E143" s="17" t="inlineStr">
        <is>
          <t>M2</t>
        </is>
      </c>
      <c r="F143" s="17" t="inlineStr">
        <is>
          <t>A&lt;면적&gt; − 0&lt;기둥 공제&gt;</t>
        </is>
      </c>
      <c r="G143" s="17">
        <f>G138-0</f>
        <v/>
      </c>
    </row>
    <row r="144" ht="25" customHeight="1">
      <c r="A144" s="17" t="n"/>
      <c r="B144" s="17" t="inlineStr">
        <is>
          <t>걸레받이</t>
        </is>
      </c>
      <c r="C144" s="17" t="inlineStr">
        <is>
          <t>걸레받이 설치</t>
        </is>
      </c>
      <c r="D144" s="17" t="inlineStr">
        <is>
          <t>MDF+인테리어필름 T=9, H=30</t>
        </is>
      </c>
      <c r="E144" s="17" t="inlineStr">
        <is>
          <t>M</t>
        </is>
      </c>
      <c r="F144" s="17" t="inlineStr">
        <is>
          <t>B&lt;걸레받이&gt;</t>
        </is>
      </c>
      <c r="G144" s="17">
        <f>G140</f>
        <v/>
      </c>
    </row>
    <row r="145" ht="25" customHeight="1">
      <c r="A145" s="22" t="n"/>
      <c r="B145" s="22" t="inlineStr">
        <is>
          <t>[ 끝 ]</t>
        </is>
      </c>
      <c r="C145" s="22" t="n"/>
      <c r="D145" s="22" t="n"/>
      <c r="E145" s="22" t="n"/>
      <c r="F145" s="22" t="n"/>
      <c r="G145" s="22" t="n"/>
    </row>
    <row r="147">
      <c r="A147" s="18" t="inlineStr">
        <is>
          <t>도형</t>
        </is>
      </c>
      <c r="B147" s="18" t="inlineStr">
        <is>
          <t>부위</t>
        </is>
      </c>
      <c r="C147" s="18" t="inlineStr">
        <is>
          <t>품명</t>
        </is>
      </c>
      <c r="D147" s="18" t="inlineStr">
        <is>
          <t>규격</t>
        </is>
      </c>
      <c r="E147" s="18" t="inlineStr">
        <is>
          <t>단위</t>
        </is>
      </c>
      <c r="F147" s="18" t="inlineStr">
        <is>
          <t>산식</t>
        </is>
      </c>
      <c r="G147" s="18" t="inlineStr">
        <is>
          <t>물량</t>
        </is>
      </c>
    </row>
    <row r="148">
      <c r="A148" s="12" t="inlineStr">
        <is>
          <t>실명 : 2F CORRIDOR 서측 (INFO~O.A 옆)</t>
        </is>
      </c>
      <c r="C148" s="12" t="inlineStr">
        <is>
          <t>개소 : 1</t>
        </is>
      </c>
      <c r="F148" s="19" t="inlineStr">
        <is>
          <t>신뢰도 low</t>
        </is>
      </c>
    </row>
    <row r="149">
      <c r="A149" s="17" t="inlineStr">
        <is>
          <t>A</t>
        </is>
      </c>
      <c r="B149" s="17" t="inlineStr">
        <is>
          <t>(면 적)</t>
        </is>
      </c>
      <c r="C149" s="17" t="n"/>
      <c r="D149" s="17" t="n"/>
      <c r="E149" s="17" t="n"/>
      <c r="F149" s="17" t="inlineStr">
        <is>
          <t>1.600 × 9.753 = 15.605  +1.865&lt;가산 - 산출근거서 No.14&gt;</t>
        </is>
      </c>
      <c r="G149" s="20" t="n">
        <v>17.47</v>
      </c>
    </row>
    <row r="150">
      <c r="A150" s="17" t="inlineStr">
        <is>
          <t>L</t>
        </is>
      </c>
      <c r="B150" s="17" t="inlineStr">
        <is>
          <t>(둘 레)</t>
        </is>
      </c>
      <c r="C150" s="17" t="n"/>
      <c r="D150" s="17" t="n"/>
      <c r="E150" s="17" t="n"/>
      <c r="F150" s="17" t="inlineStr">
        <is>
          <t>비정형 - 사각형 근사 생략</t>
        </is>
      </c>
      <c r="G150" s="21" t="n"/>
    </row>
    <row r="151">
      <c r="A151" s="17" t="inlineStr">
        <is>
          <t>B</t>
        </is>
      </c>
      <c r="B151" s="17" t="inlineStr">
        <is>
          <t>(걸레받이)</t>
        </is>
      </c>
      <c r="C151" s="17" t="n"/>
      <c r="D151" s="17" t="n"/>
      <c r="E151" s="17" t="n"/>
      <c r="F151" s="17" t="inlineStr">
        <is>
          <t>둘레 − 개구부(문·폴딩도어) - 산출근거서 No.14</t>
        </is>
      </c>
      <c r="G151" s="20" t="n">
        <v>14.75</v>
      </c>
    </row>
    <row r="152">
      <c r="A152" s="17" t="inlineStr">
        <is>
          <t>H</t>
        </is>
      </c>
      <c r="B152" s="17" t="inlineStr">
        <is>
          <t>(마감높이)</t>
        </is>
      </c>
      <c r="C152" s="17" t="n"/>
      <c r="D152" s="17" t="n"/>
      <c r="E152" s="17" t="n"/>
      <c r="F152" s="17" t="inlineStr">
        <is>
          <t>바닥 마감 범위 외</t>
        </is>
      </c>
      <c r="G152" s="17" t="n"/>
    </row>
    <row r="153">
      <c r="A153" s="22" t="n"/>
      <c r="B153" s="22" t="inlineStr">
        <is>
          <t>[산 출 범 위]</t>
        </is>
      </c>
      <c r="C153" s="22" t="n"/>
      <c r="D153" s="23" t="n"/>
      <c r="E153" s="23" t="n"/>
      <c r="F153" s="24" t="n"/>
      <c r="G153" s="22" t="n"/>
    </row>
    <row r="154" ht="25" customHeight="1">
      <c r="A154" s="17" t="n"/>
      <c r="B154" s="17" t="inlineStr">
        <is>
          <t>바닥</t>
        </is>
      </c>
      <c r="C154" s="17" t="inlineStr">
        <is>
          <t>비닐타일 깔기 [DT-02]</t>
        </is>
      </c>
      <c r="D154" s="17" t="inlineStr">
        <is>
          <t>데코타일 457x914</t>
        </is>
      </c>
      <c r="E154" s="17" t="inlineStr">
        <is>
          <t>M2</t>
        </is>
      </c>
      <c r="F154" s="17" t="inlineStr">
        <is>
          <t>A&lt;면적&gt; − 0&lt;기둥 공제&gt;</t>
        </is>
      </c>
      <c r="G154" s="17">
        <f>G149-0</f>
        <v/>
      </c>
    </row>
    <row r="155" ht="25" customHeight="1">
      <c r="A155" s="17" t="n"/>
      <c r="B155" s="17" t="inlineStr">
        <is>
          <t>걸레받이</t>
        </is>
      </c>
      <c r="C155" s="17" t="inlineStr">
        <is>
          <t>걸레받이 설치</t>
        </is>
      </c>
      <c r="D155" s="17" t="inlineStr">
        <is>
          <t>MDF+인테리어필름 T=9, H=30</t>
        </is>
      </c>
      <c r="E155" s="17" t="inlineStr">
        <is>
          <t>M</t>
        </is>
      </c>
      <c r="F155" s="17" t="inlineStr">
        <is>
          <t>B&lt;걸레받이&gt;</t>
        </is>
      </c>
      <c r="G155" s="17">
        <f>G151</f>
        <v/>
      </c>
    </row>
    <row r="156" ht="25" customHeight="1">
      <c r="A156" s="22" t="n"/>
      <c r="B156" s="22" t="inlineStr">
        <is>
          <t>[ 끝 ]</t>
        </is>
      </c>
      <c r="C156" s="22" t="n"/>
      <c r="D156" s="22" t="n"/>
      <c r="E156" s="22" t="n"/>
      <c r="F156" s="22" t="n"/>
      <c r="G156" s="22" t="n"/>
    </row>
    <row r="158">
      <c r="A158" s="18" t="inlineStr">
        <is>
          <t>도형</t>
        </is>
      </c>
      <c r="B158" s="18" t="inlineStr">
        <is>
          <t>부위</t>
        </is>
      </c>
      <c r="C158" s="18" t="inlineStr">
        <is>
          <t>품명</t>
        </is>
      </c>
      <c r="D158" s="18" t="inlineStr">
        <is>
          <t>규격</t>
        </is>
      </c>
      <c r="E158" s="18" t="inlineStr">
        <is>
          <t>단위</t>
        </is>
      </c>
      <c r="F158" s="18" t="inlineStr">
        <is>
          <t>산식</t>
        </is>
      </c>
      <c r="G158" s="18" t="inlineStr">
        <is>
          <t>물량</t>
        </is>
      </c>
    </row>
    <row r="159">
      <c r="A159" s="12" t="inlineStr">
        <is>
          <t>실명 : 2F CORRIDOR 남측</t>
        </is>
      </c>
      <c r="C159" s="12" t="inlineStr">
        <is>
          <t>개소 : 1</t>
        </is>
      </c>
      <c r="F159" s="19" t="inlineStr">
        <is>
          <t>신뢰도 low</t>
        </is>
      </c>
    </row>
    <row r="160">
      <c r="A160" s="17" t="inlineStr">
        <is>
          <t>A</t>
        </is>
      </c>
      <c r="B160" s="17" t="inlineStr">
        <is>
          <t>(면 적)</t>
        </is>
      </c>
      <c r="C160" s="17" t="n"/>
      <c r="D160" s="17" t="n"/>
      <c r="E160" s="17" t="n"/>
      <c r="F160" s="17" t="inlineStr">
        <is>
          <t>12.410 × 2.000 = 24.820</t>
        </is>
      </c>
      <c r="G160" s="20" t="n">
        <v>24.82</v>
      </c>
    </row>
    <row r="161">
      <c r="A161" s="17" t="inlineStr">
        <is>
          <t>L</t>
        </is>
      </c>
      <c r="B161" s="17" t="inlineStr">
        <is>
          <t>(둘 레)</t>
        </is>
      </c>
      <c r="C161" s="17" t="n"/>
      <c r="D161" s="17" t="n"/>
      <c r="E161" s="17" t="n"/>
      <c r="F161" s="17" t="inlineStr">
        <is>
          <t>2 × (12.410 + 2.000)</t>
        </is>
      </c>
      <c r="G161" s="21">
        <f>ROUND(2*(12.41+2.0),3)</f>
        <v/>
      </c>
    </row>
    <row r="162">
      <c r="A162" s="17" t="inlineStr">
        <is>
          <t>B</t>
        </is>
      </c>
      <c r="B162" s="17" t="inlineStr">
        <is>
          <t>(걸레받이)</t>
        </is>
      </c>
      <c r="C162" s="17" t="n"/>
      <c r="D162" s="17" t="n"/>
      <c r="E162" s="17" t="n"/>
      <c r="F162" s="17" t="inlineStr">
        <is>
          <t>둘레 − 개구부(문·폴딩도어) - 산출근거서 No.15</t>
        </is>
      </c>
      <c r="G162" s="20" t="n">
        <v>11.2</v>
      </c>
    </row>
    <row r="163">
      <c r="A163" s="17" t="inlineStr">
        <is>
          <t>H</t>
        </is>
      </c>
      <c r="B163" s="17" t="inlineStr">
        <is>
          <t>(마감높이)</t>
        </is>
      </c>
      <c r="C163" s="17" t="n"/>
      <c r="D163" s="17" t="n"/>
      <c r="E163" s="17" t="n"/>
      <c r="F163" s="17" t="inlineStr">
        <is>
          <t>바닥 마감 범위 외</t>
        </is>
      </c>
      <c r="G163" s="17" t="n"/>
    </row>
    <row r="164">
      <c r="A164" s="22" t="n"/>
      <c r="B164" s="22" t="inlineStr">
        <is>
          <t>[산 출 범 위]</t>
        </is>
      </c>
      <c r="C164" s="22" t="n"/>
      <c r="D164" s="23" t="n"/>
      <c r="E164" s="23" t="n"/>
      <c r="F164" s="24" t="n"/>
      <c r="G164" s="22" t="n"/>
    </row>
    <row r="165" ht="25" customHeight="1">
      <c r="A165" s="17" t="n"/>
      <c r="B165" s="17" t="inlineStr">
        <is>
          <t>바닥</t>
        </is>
      </c>
      <c r="C165" s="17" t="inlineStr">
        <is>
          <t>비닐타일 깔기 [DT-02]</t>
        </is>
      </c>
      <c r="D165" s="17" t="inlineStr">
        <is>
          <t>데코타일 457x914</t>
        </is>
      </c>
      <c r="E165" s="17" t="inlineStr">
        <is>
          <t>M2</t>
        </is>
      </c>
      <c r="F165" s="17" t="inlineStr">
        <is>
          <t>A&lt;면적&gt; − 0&lt;기둥 공제&gt;</t>
        </is>
      </c>
      <c r="G165" s="17">
        <f>G160-0</f>
        <v/>
      </c>
    </row>
    <row r="166" ht="25" customHeight="1">
      <c r="A166" s="17" t="n"/>
      <c r="B166" s="17" t="inlineStr">
        <is>
          <t>걸레받이</t>
        </is>
      </c>
      <c r="C166" s="17" t="inlineStr">
        <is>
          <t>걸레받이 설치</t>
        </is>
      </c>
      <c r="D166" s="17" t="inlineStr">
        <is>
          <t>MDF+인테리어필름 T=9, H=30</t>
        </is>
      </c>
      <c r="E166" s="17" t="inlineStr">
        <is>
          <t>M</t>
        </is>
      </c>
      <c r="F166" s="17" t="inlineStr">
        <is>
          <t>B&lt;걸레받이&gt;</t>
        </is>
      </c>
      <c r="G166" s="17">
        <f>G162</f>
        <v/>
      </c>
    </row>
    <row r="167" ht="25" customHeight="1">
      <c r="A167" s="22" t="n"/>
      <c r="B167" s="22" t="inlineStr">
        <is>
          <t>[ 끝 ]</t>
        </is>
      </c>
      <c r="C167" s="22" t="n"/>
      <c r="D167" s="22" t="n"/>
      <c r="E167" s="22" t="n"/>
      <c r="F167" s="22" t="n"/>
      <c r="G167" s="22" t="n"/>
    </row>
    <row r="169">
      <c r="A169" s="18" t="inlineStr">
        <is>
          <t>도형</t>
        </is>
      </c>
      <c r="B169" s="18" t="inlineStr">
        <is>
          <t>부위</t>
        </is>
      </c>
      <c r="C169" s="18" t="inlineStr">
        <is>
          <t>품명</t>
        </is>
      </c>
      <c r="D169" s="18" t="inlineStr">
        <is>
          <t>규격</t>
        </is>
      </c>
      <c r="E169" s="18" t="inlineStr">
        <is>
          <t>단위</t>
        </is>
      </c>
      <c r="F169" s="18" t="inlineStr">
        <is>
          <t>산식</t>
        </is>
      </c>
      <c r="G169" s="18" t="inlineStr">
        <is>
          <t>물량</t>
        </is>
      </c>
    </row>
    <row r="170">
      <c r="A170" s="12" t="inlineStr">
        <is>
          <t>실명 : 2F CORRIDOR 동측 (코어~인권팀)</t>
        </is>
      </c>
      <c r="C170" s="12" t="inlineStr">
        <is>
          <t>개소 : 1</t>
        </is>
      </c>
      <c r="F170" s="19" t="inlineStr">
        <is>
          <t>신뢰도 low</t>
        </is>
      </c>
    </row>
    <row r="171">
      <c r="A171" s="17" t="inlineStr">
        <is>
          <t>A</t>
        </is>
      </c>
      <c r="B171" s="17" t="inlineStr">
        <is>
          <t>(면 적)</t>
        </is>
      </c>
      <c r="C171" s="17" t="n"/>
      <c r="D171" s="17" t="n"/>
      <c r="E171" s="17" t="n"/>
      <c r="F171" s="17" t="inlineStr">
        <is>
          <t>1.600 × 7.400 = 11.840</t>
        </is>
      </c>
      <c r="G171" s="20" t="n">
        <v>11.84</v>
      </c>
    </row>
    <row r="172">
      <c r="A172" s="17" t="inlineStr">
        <is>
          <t>L</t>
        </is>
      </c>
      <c r="B172" s="17" t="inlineStr">
        <is>
          <t>(둘 레)</t>
        </is>
      </c>
      <c r="C172" s="17" t="n"/>
      <c r="D172" s="17" t="n"/>
      <c r="E172" s="17" t="n"/>
      <c r="F172" s="17" t="inlineStr">
        <is>
          <t>2 × (1.600 + 7.400)</t>
        </is>
      </c>
      <c r="G172" s="21">
        <f>ROUND(2*(1.6+7.4),3)</f>
        <v/>
      </c>
    </row>
    <row r="173">
      <c r="A173" s="17" t="inlineStr">
        <is>
          <t>B</t>
        </is>
      </c>
      <c r="B173" s="17" t="inlineStr">
        <is>
          <t>(걸레받이)</t>
        </is>
      </c>
      <c r="C173" s="17" t="n"/>
      <c r="D173" s="17" t="n"/>
      <c r="E173" s="17" t="n"/>
      <c r="F173" s="17" t="inlineStr">
        <is>
          <t>둘레 − 개구부(문·폴딩도어) - 산출근거서 No.16</t>
        </is>
      </c>
      <c r="G173" s="20" t="n">
        <v>6.5</v>
      </c>
    </row>
    <row r="174">
      <c r="A174" s="17" t="inlineStr">
        <is>
          <t>H</t>
        </is>
      </c>
      <c r="B174" s="17" t="inlineStr">
        <is>
          <t>(마감높이)</t>
        </is>
      </c>
      <c r="C174" s="17" t="n"/>
      <c r="D174" s="17" t="n"/>
      <c r="E174" s="17" t="n"/>
      <c r="F174" s="17" t="inlineStr">
        <is>
          <t>바닥 마감 범위 외</t>
        </is>
      </c>
      <c r="G174" s="17" t="n"/>
    </row>
    <row r="175">
      <c r="A175" s="22" t="n"/>
      <c r="B175" s="22" t="inlineStr">
        <is>
          <t>[산 출 범 위]</t>
        </is>
      </c>
      <c r="C175" s="22" t="n"/>
      <c r="D175" s="23" t="n"/>
      <c r="E175" s="23" t="n"/>
      <c r="F175" s="24" t="n"/>
      <c r="G175" s="22" t="n"/>
    </row>
    <row r="176" ht="25" customHeight="1">
      <c r="A176" s="17" t="n"/>
      <c r="B176" s="17" t="inlineStr">
        <is>
          <t>바닥</t>
        </is>
      </c>
      <c r="C176" s="17" t="inlineStr">
        <is>
          <t>비닐타일 깔기 [DT-02]</t>
        </is>
      </c>
      <c r="D176" s="17" t="inlineStr">
        <is>
          <t>데코타일 457x914</t>
        </is>
      </c>
      <c r="E176" s="17" t="inlineStr">
        <is>
          <t>M2</t>
        </is>
      </c>
      <c r="F176" s="17" t="inlineStr">
        <is>
          <t>A&lt;면적&gt; − 0&lt;기둥 공제&gt;</t>
        </is>
      </c>
      <c r="G176" s="17">
        <f>G171-0</f>
        <v/>
      </c>
    </row>
    <row r="177" ht="25" customHeight="1">
      <c r="A177" s="17" t="n"/>
      <c r="B177" s="17" t="inlineStr">
        <is>
          <t>걸레받이</t>
        </is>
      </c>
      <c r="C177" s="17" t="inlineStr">
        <is>
          <t>걸레받이 설치</t>
        </is>
      </c>
      <c r="D177" s="17" t="inlineStr">
        <is>
          <t>MDF+인테리어필름 T=9, H=30</t>
        </is>
      </c>
      <c r="E177" s="17" t="inlineStr">
        <is>
          <t>M</t>
        </is>
      </c>
      <c r="F177" s="17" t="inlineStr">
        <is>
          <t>B&lt;걸레받이&gt;</t>
        </is>
      </c>
      <c r="G177" s="17">
        <f>G173</f>
        <v/>
      </c>
    </row>
    <row r="178" ht="25" customHeight="1">
      <c r="A178" s="22" t="n"/>
      <c r="B178" s="22" t="inlineStr">
        <is>
          <t>[ 끝 ]</t>
        </is>
      </c>
      <c r="C178" s="22" t="n"/>
      <c r="D178" s="22" t="n"/>
      <c r="E178" s="22" t="n"/>
      <c r="F178" s="22" t="n"/>
      <c r="G178" s="22" t="n"/>
    </row>
    <row r="180">
      <c r="A180" s="18" t="inlineStr">
        <is>
          <t>도형</t>
        </is>
      </c>
      <c r="B180" s="18" t="inlineStr">
        <is>
          <t>부위</t>
        </is>
      </c>
      <c r="C180" s="18" t="inlineStr">
        <is>
          <t>품명</t>
        </is>
      </c>
      <c r="D180" s="18" t="inlineStr">
        <is>
          <t>규격</t>
        </is>
      </c>
      <c r="E180" s="18" t="inlineStr">
        <is>
          <t>단위</t>
        </is>
      </c>
      <c r="F180" s="18" t="inlineStr">
        <is>
          <t>산식</t>
        </is>
      </c>
      <c r="G180" s="18" t="inlineStr">
        <is>
          <t>물량</t>
        </is>
      </c>
    </row>
    <row r="181">
      <c r="A181" s="12" t="inlineStr">
        <is>
          <t>실명 : 2F ELE'V HALL + 북측 홀</t>
        </is>
      </c>
      <c r="C181" s="12" t="inlineStr">
        <is>
          <t>개소 : 1</t>
        </is>
      </c>
      <c r="F181" s="19" t="inlineStr">
        <is>
          <t>신뢰도 low</t>
        </is>
      </c>
    </row>
    <row r="182">
      <c r="A182" s="17" t="inlineStr">
        <is>
          <t>A</t>
        </is>
      </c>
      <c r="B182" s="17" t="inlineStr">
        <is>
          <t>(면 적)</t>
        </is>
      </c>
      <c r="C182" s="17" t="n"/>
      <c r="D182" s="17" t="n"/>
      <c r="E182" s="17" t="n"/>
      <c r="F182" s="17" t="inlineStr">
        <is>
          <t>27.710&lt;열린 공간 구분구적 - 산출근거서 No.17&gt;</t>
        </is>
      </c>
      <c r="G182" s="20" t="n">
        <v>27.71</v>
      </c>
    </row>
    <row r="183">
      <c r="A183" s="17" t="inlineStr">
        <is>
          <t>L</t>
        </is>
      </c>
      <c r="B183" s="17" t="inlineStr">
        <is>
          <t>(둘 레)</t>
        </is>
      </c>
      <c r="C183" s="17" t="n"/>
      <c r="D183" s="17" t="n"/>
      <c r="E183" s="17" t="n"/>
      <c r="F183" s="17" t="inlineStr">
        <is>
          <t>비정형 - 사각형 근사 생략</t>
        </is>
      </c>
      <c r="G183" s="21" t="n"/>
    </row>
    <row r="184">
      <c r="A184" s="17" t="inlineStr">
        <is>
          <t>B</t>
        </is>
      </c>
      <c r="B184" s="17" t="inlineStr">
        <is>
          <t>(걸레받이)</t>
        </is>
      </c>
      <c r="C184" s="17" t="n"/>
      <c r="D184" s="17" t="n"/>
      <c r="E184" s="17" t="n"/>
      <c r="F184" s="17" t="inlineStr">
        <is>
          <t>둘레 − 개구부(문·폴딩도어) - 산출근거서 No.17</t>
        </is>
      </c>
      <c r="G184" s="20" t="n">
        <v>20.3</v>
      </c>
    </row>
    <row r="185">
      <c r="A185" s="17" t="inlineStr">
        <is>
          <t>H</t>
        </is>
      </c>
      <c r="B185" s="17" t="inlineStr">
        <is>
          <t>(마감높이)</t>
        </is>
      </c>
      <c r="C185" s="17" t="n"/>
      <c r="D185" s="17" t="n"/>
      <c r="E185" s="17" t="n"/>
      <c r="F185" s="17" t="inlineStr">
        <is>
          <t>바닥 마감 범위 외</t>
        </is>
      </c>
      <c r="G185" s="17" t="n"/>
    </row>
    <row r="186">
      <c r="A186" s="22" t="n"/>
      <c r="B186" s="22" t="inlineStr">
        <is>
          <t>[산 출 범 위]</t>
        </is>
      </c>
      <c r="C186" s="22" t="n"/>
      <c r="D186" s="23" t="n"/>
      <c r="E186" s="23" t="n"/>
      <c r="F186" s="24" t="n"/>
      <c r="G186" s="22" t="n"/>
    </row>
    <row r="187" ht="25" customHeight="1">
      <c r="A187" s="17" t="n"/>
      <c r="B187" s="17" t="inlineStr">
        <is>
          <t>바닥</t>
        </is>
      </c>
      <c r="C187" s="17" t="inlineStr">
        <is>
          <t>비닐타일 깔기 [DT-02]</t>
        </is>
      </c>
      <c r="D187" s="17" t="inlineStr">
        <is>
          <t>데코타일 457x914</t>
        </is>
      </c>
      <c r="E187" s="17" t="inlineStr">
        <is>
          <t>M2</t>
        </is>
      </c>
      <c r="F187" s="17" t="inlineStr">
        <is>
          <t>A&lt;면적&gt; − 0&lt;기둥 공제&gt;</t>
        </is>
      </c>
      <c r="G187" s="17">
        <f>G182-0</f>
        <v/>
      </c>
    </row>
    <row r="188" ht="25" customHeight="1">
      <c r="A188" s="17" t="n"/>
      <c r="B188" s="17" t="inlineStr">
        <is>
          <t>걸레받이</t>
        </is>
      </c>
      <c r="C188" s="17" t="inlineStr">
        <is>
          <t>걸레받이 설치</t>
        </is>
      </c>
      <c r="D188" s="17" t="inlineStr">
        <is>
          <t>MDF+인테리어필름 T=9, H=30</t>
        </is>
      </c>
      <c r="E188" s="17" t="inlineStr">
        <is>
          <t>M</t>
        </is>
      </c>
      <c r="F188" s="17" t="inlineStr">
        <is>
          <t>B&lt;걸레받이&gt;</t>
        </is>
      </c>
      <c r="G188" s="17">
        <f>G184</f>
        <v/>
      </c>
    </row>
    <row r="189" ht="25" customHeight="1">
      <c r="A189" s="22" t="n"/>
      <c r="B189" s="22" t="inlineStr">
        <is>
          <t>[ 끝 ]</t>
        </is>
      </c>
      <c r="C189" s="22" t="n"/>
      <c r="D189" s="22" t="n"/>
      <c r="E189" s="22" t="n"/>
      <c r="F189" s="22" t="n"/>
      <c r="G189" s="22" t="n"/>
    </row>
    <row r="191">
      <c r="A191" s="18" t="inlineStr">
        <is>
          <t>도형</t>
        </is>
      </c>
      <c r="B191" s="18" t="inlineStr">
        <is>
          <t>부위</t>
        </is>
      </c>
      <c r="C191" s="18" t="inlineStr">
        <is>
          <t>품명</t>
        </is>
      </c>
      <c r="D191" s="18" t="inlineStr">
        <is>
          <t>규격</t>
        </is>
      </c>
      <c r="E191" s="18" t="inlineStr">
        <is>
          <t>단위</t>
        </is>
      </c>
      <c r="F191" s="18" t="inlineStr">
        <is>
          <t>산식</t>
        </is>
      </c>
      <c r="G191" s="18" t="inlineStr">
        <is>
          <t>물량</t>
        </is>
      </c>
    </row>
    <row r="192">
      <c r="A192" s="12" t="inlineStr">
        <is>
          <t>실명 : 2F 인권팀</t>
        </is>
      </c>
      <c r="C192" s="12" t="inlineStr">
        <is>
          <t>개소 : 1</t>
        </is>
      </c>
      <c r="F192" s="19" t="inlineStr">
        <is>
          <t>신뢰도 mid</t>
        </is>
      </c>
    </row>
    <row r="193">
      <c r="A193" s="17" t="inlineStr">
        <is>
          <t>A</t>
        </is>
      </c>
      <c r="B193" s="17" t="inlineStr">
        <is>
          <t>(면 적)</t>
        </is>
      </c>
      <c r="C193" s="17" t="n"/>
      <c r="D193" s="17" t="n"/>
      <c r="E193" s="17" t="n"/>
      <c r="F193" s="17" t="inlineStr">
        <is>
          <t>3.490 × 7.170 = 25.023</t>
        </is>
      </c>
      <c r="G193" s="20" t="n">
        <v>25.02</v>
      </c>
    </row>
    <row r="194">
      <c r="A194" s="17" t="inlineStr">
        <is>
          <t>L</t>
        </is>
      </c>
      <c r="B194" s="17" t="inlineStr">
        <is>
          <t>(둘 레)</t>
        </is>
      </c>
      <c r="C194" s="17" t="n"/>
      <c r="D194" s="17" t="n"/>
      <c r="E194" s="17" t="n"/>
      <c r="F194" s="17" t="inlineStr">
        <is>
          <t>2 × (3.490 + 7.170)</t>
        </is>
      </c>
      <c r="G194" s="21">
        <f>ROUND(2*(3.49+7.17),3)</f>
        <v/>
      </c>
    </row>
    <row r="195">
      <c r="A195" s="17" t="inlineStr">
        <is>
          <t>B</t>
        </is>
      </c>
      <c r="B195" s="17" t="inlineStr">
        <is>
          <t>(걸레받이)</t>
        </is>
      </c>
      <c r="C195" s="17" t="n"/>
      <c r="D195" s="17" t="n"/>
      <c r="E195" s="17" t="n"/>
      <c r="F195" s="17" t="inlineStr">
        <is>
          <t>둘레 − 개구부(문·폴딩도어) - 산출근거서 No.18</t>
        </is>
      </c>
      <c r="G195" s="20" t="n">
        <v>6.98</v>
      </c>
    </row>
    <row r="196">
      <c r="A196" s="17" t="inlineStr">
        <is>
          <t>H</t>
        </is>
      </c>
      <c r="B196" s="17" t="inlineStr">
        <is>
          <t>(마감높이)</t>
        </is>
      </c>
      <c r="C196" s="17" t="n"/>
      <c r="D196" s="17" t="n"/>
      <c r="E196" s="17" t="n"/>
      <c r="F196" s="17" t="inlineStr">
        <is>
          <t>바닥 마감 범위 외</t>
        </is>
      </c>
      <c r="G196" s="17" t="n"/>
    </row>
    <row r="197">
      <c r="A197" s="22" t="n"/>
      <c r="B197" s="22" t="inlineStr">
        <is>
          <t>[산 출 범 위]</t>
        </is>
      </c>
      <c r="C197" s="22" t="n"/>
      <c r="D197" s="23" t="n"/>
      <c r="E197" s="23" t="n"/>
      <c r="F197" s="24" t="n"/>
      <c r="G197" s="22" t="n"/>
    </row>
    <row r="198" ht="25" customHeight="1">
      <c r="A198" s="17" t="n"/>
      <c r="B198" s="17" t="inlineStr">
        <is>
          <t>바닥</t>
        </is>
      </c>
      <c r="C198" s="17" t="inlineStr">
        <is>
          <t>비닐타일 깔기 [DT-02]</t>
        </is>
      </c>
      <c r="D198" s="17" t="inlineStr">
        <is>
          <t>데코타일 457x914</t>
        </is>
      </c>
      <c r="E198" s="17" t="inlineStr">
        <is>
          <t>M2</t>
        </is>
      </c>
      <c r="F198" s="17" t="inlineStr">
        <is>
          <t>A&lt;면적&gt; − 0&lt;기둥 공제&gt;</t>
        </is>
      </c>
      <c r="G198" s="17">
        <f>G193-0</f>
        <v/>
      </c>
    </row>
    <row r="199" ht="25" customHeight="1">
      <c r="A199" s="17" t="n"/>
      <c r="B199" s="17" t="inlineStr">
        <is>
          <t>걸레받이</t>
        </is>
      </c>
      <c r="C199" s="17" t="inlineStr">
        <is>
          <t>걸레받이 설치</t>
        </is>
      </c>
      <c r="D199" s="17" t="inlineStr">
        <is>
          <t>MDF+인테리어필름 T=9, H=30</t>
        </is>
      </c>
      <c r="E199" s="17" t="inlineStr">
        <is>
          <t>M</t>
        </is>
      </c>
      <c r="F199" s="17" t="inlineStr">
        <is>
          <t>B&lt;걸레받이&gt;</t>
        </is>
      </c>
      <c r="G199" s="17">
        <f>G195</f>
        <v/>
      </c>
    </row>
    <row r="200" ht="25" customHeight="1">
      <c r="A200" s="22" t="n"/>
      <c r="B200" s="22" t="inlineStr">
        <is>
          <t>[ 끝 ]</t>
        </is>
      </c>
      <c r="C200" s="22" t="n"/>
      <c r="D200" s="22" t="n"/>
      <c r="E200" s="22" t="n"/>
      <c r="F200" s="22" t="n"/>
      <c r="G200" s="22" t="n"/>
    </row>
    <row r="202">
      <c r="A202" s="18" t="inlineStr">
        <is>
          <t>도형</t>
        </is>
      </c>
      <c r="B202" s="18" t="inlineStr">
        <is>
          <t>부위</t>
        </is>
      </c>
      <c r="C202" s="18" t="inlineStr">
        <is>
          <t>품명</t>
        </is>
      </c>
      <c r="D202" s="18" t="inlineStr">
        <is>
          <t>규격</t>
        </is>
      </c>
      <c r="E202" s="18" t="inlineStr">
        <is>
          <t>단위</t>
        </is>
      </c>
      <c r="F202" s="18" t="inlineStr">
        <is>
          <t>산식</t>
        </is>
      </c>
      <c r="G202" s="18" t="inlineStr">
        <is>
          <t>물량</t>
        </is>
      </c>
    </row>
    <row r="203">
      <c r="A203" s="12" t="inlineStr">
        <is>
          <t>실명 : 2F OFFICE (서측, 03 DT)</t>
        </is>
      </c>
      <c r="C203" s="12" t="inlineStr">
        <is>
          <t>개소 : 1</t>
        </is>
      </c>
      <c r="F203" s="19" t="inlineStr">
        <is>
          <t>신뢰도 mid</t>
        </is>
      </c>
    </row>
    <row r="204">
      <c r="A204" s="17" t="inlineStr">
        <is>
          <t>A</t>
        </is>
      </c>
      <c r="B204" s="17" t="inlineStr">
        <is>
          <t>(면 적)</t>
        </is>
      </c>
      <c r="C204" s="17" t="n"/>
      <c r="D204" s="17" t="n"/>
      <c r="E204" s="17" t="n"/>
      <c r="F204" s="17" t="inlineStr">
        <is>
          <t>7.200 × 19.150 = 137.880  +25.050&lt;가산 - 산출근거서 No.19&gt;</t>
        </is>
      </c>
      <c r="G204" s="20" t="n">
        <v>162.93</v>
      </c>
    </row>
    <row r="205">
      <c r="A205" s="17" t="inlineStr">
        <is>
          <t>L</t>
        </is>
      </c>
      <c r="B205" s="17" t="inlineStr">
        <is>
          <t>(둘 레)</t>
        </is>
      </c>
      <c r="C205" s="17" t="n"/>
      <c r="D205" s="17" t="n"/>
      <c r="E205" s="17" t="n"/>
      <c r="F205" s="17" t="inlineStr">
        <is>
          <t>비정형 - 사각형 근사 생략</t>
        </is>
      </c>
      <c r="G205" s="21" t="n"/>
    </row>
    <row r="206">
      <c r="A206" s="17" t="inlineStr">
        <is>
          <t>B</t>
        </is>
      </c>
      <c r="B206" s="17" t="inlineStr">
        <is>
          <t>(걸레받이)</t>
        </is>
      </c>
      <c r="C206" s="17" t="n"/>
      <c r="D206" s="17" t="n"/>
      <c r="E206" s="17" t="n"/>
      <c r="F206" s="17" t="inlineStr">
        <is>
          <t>둘레 − 개구부(문·폴딩도어) - 산출근거서 No.19</t>
        </is>
      </c>
      <c r="G206" s="20" t="n">
        <v>37.1</v>
      </c>
    </row>
    <row r="207">
      <c r="A207" s="17" t="inlineStr">
        <is>
          <t>H</t>
        </is>
      </c>
      <c r="B207" s="17" t="inlineStr">
        <is>
          <t>(마감높이)</t>
        </is>
      </c>
      <c r="C207" s="17" t="n"/>
      <c r="D207" s="17" t="n"/>
      <c r="E207" s="17" t="n"/>
      <c r="F207" s="17" t="inlineStr">
        <is>
          <t>바닥 마감 범위 외</t>
        </is>
      </c>
      <c r="G207" s="17" t="n"/>
    </row>
    <row r="208">
      <c r="A208" s="22" t="n"/>
      <c r="B208" s="22" t="inlineStr">
        <is>
          <t>[산 출 범 위]</t>
        </is>
      </c>
      <c r="C208" s="22" t="n"/>
      <c r="D208" s="23" t="n"/>
      <c r="E208" s="23" t="n"/>
      <c r="F208" s="24" t="n"/>
      <c r="G208" s="22" t="n"/>
    </row>
    <row r="209" ht="25" customHeight="1">
      <c r="A209" s="17" t="n"/>
      <c r="B209" s="17" t="inlineStr">
        <is>
          <t>바닥</t>
        </is>
      </c>
      <c r="C209" s="17" t="inlineStr">
        <is>
          <t>비닐타일 깔기 [DT-03]</t>
        </is>
      </c>
      <c r="D209" s="17" t="inlineStr">
        <is>
          <t>데코타일 457x914</t>
        </is>
      </c>
      <c r="E209" s="17" t="inlineStr">
        <is>
          <t>M2</t>
        </is>
      </c>
      <c r="F209" s="17" t="inlineStr">
        <is>
          <t>A&lt;면적&gt; − 0&lt;기둥 공제&gt;</t>
        </is>
      </c>
      <c r="G209" s="17">
        <f>G204-0</f>
        <v/>
      </c>
    </row>
    <row r="210" ht="25" customHeight="1">
      <c r="A210" s="17" t="n"/>
      <c r="B210" s="17" t="inlineStr">
        <is>
          <t>걸레받이</t>
        </is>
      </c>
      <c r="C210" s="17" t="inlineStr">
        <is>
          <t>걸레받이 설치</t>
        </is>
      </c>
      <c r="D210" s="17" t="inlineStr">
        <is>
          <t>MDF+인테리어필름 T=9, H=30</t>
        </is>
      </c>
      <c r="E210" s="17" t="inlineStr">
        <is>
          <t>M</t>
        </is>
      </c>
      <c r="F210" s="17" t="inlineStr">
        <is>
          <t>B&lt;걸레받이&gt;</t>
        </is>
      </c>
      <c r="G210" s="17">
        <f>G206</f>
        <v/>
      </c>
    </row>
    <row r="211" ht="25" customHeight="1">
      <c r="A211" s="22" t="n"/>
      <c r="B211" s="22" t="inlineStr">
        <is>
          <t>[ 끝 ]</t>
        </is>
      </c>
      <c r="C211" s="22" t="n"/>
      <c r="D211" s="22" t="n"/>
      <c r="E211" s="22" t="n"/>
      <c r="F211" s="22" t="n"/>
      <c r="G211" s="22" t="n"/>
    </row>
    <row r="213">
      <c r="A213" s="18" t="inlineStr">
        <is>
          <t>도형</t>
        </is>
      </c>
      <c r="B213" s="18" t="inlineStr">
        <is>
          <t>부위</t>
        </is>
      </c>
      <c r="C213" s="18" t="inlineStr">
        <is>
          <t>품명</t>
        </is>
      </c>
      <c r="D213" s="18" t="inlineStr">
        <is>
          <t>규격</t>
        </is>
      </c>
      <c r="E213" s="18" t="inlineStr">
        <is>
          <t>단위</t>
        </is>
      </c>
      <c r="F213" s="18" t="inlineStr">
        <is>
          <t>산식</t>
        </is>
      </c>
      <c r="G213" s="18" t="inlineStr">
        <is>
          <t>물량</t>
        </is>
      </c>
    </row>
    <row r="214">
      <c r="A214" s="12" t="inlineStr">
        <is>
          <t>실명 : 2F OFFICE (동측, 03 DT)</t>
        </is>
      </c>
      <c r="C214" s="12" t="inlineStr">
        <is>
          <t>개소 : 1</t>
        </is>
      </c>
      <c r="F214" s="19" t="inlineStr">
        <is>
          <t>신뢰도 mid</t>
        </is>
      </c>
    </row>
    <row r="215">
      <c r="A215" s="17" t="inlineStr">
        <is>
          <t>A</t>
        </is>
      </c>
      <c r="B215" s="17" t="inlineStr">
        <is>
          <t>(면 적)</t>
        </is>
      </c>
      <c r="C215" s="17" t="n"/>
      <c r="D215" s="17" t="n"/>
      <c r="E215" s="17" t="n"/>
      <c r="F215" s="17" t="inlineStr">
        <is>
          <t>7.178 × 19.150 = 137.459  +5.091&lt;가산 - 산출근거서 No.20&gt;</t>
        </is>
      </c>
      <c r="G215" s="20" t="n">
        <v>142.55</v>
      </c>
    </row>
    <row r="216">
      <c r="A216" s="17" t="inlineStr">
        <is>
          <t>L</t>
        </is>
      </c>
      <c r="B216" s="17" t="inlineStr">
        <is>
          <t>(둘 레)</t>
        </is>
      </c>
      <c r="C216" s="17" t="n"/>
      <c r="D216" s="17" t="n"/>
      <c r="E216" s="17" t="n"/>
      <c r="F216" s="17" t="inlineStr">
        <is>
          <t>비정형 - 사각형 근사 생략</t>
        </is>
      </c>
      <c r="G216" s="21" t="n"/>
    </row>
    <row r="217">
      <c r="A217" s="17" t="inlineStr">
        <is>
          <t>B</t>
        </is>
      </c>
      <c r="B217" s="17" t="inlineStr">
        <is>
          <t>(걸레받이)</t>
        </is>
      </c>
      <c r="C217" s="17" t="n"/>
      <c r="D217" s="17" t="n"/>
      <c r="E217" s="17" t="n"/>
      <c r="F217" s="17" t="inlineStr">
        <is>
          <t>둘레 − 개구부(문·폴딩도어) - 산출근거서 No.20</t>
        </is>
      </c>
      <c r="G217" s="20" t="n">
        <v>30</v>
      </c>
    </row>
    <row r="218">
      <c r="A218" s="17" t="inlineStr">
        <is>
          <t>H</t>
        </is>
      </c>
      <c r="B218" s="17" t="inlineStr">
        <is>
          <t>(마감높이)</t>
        </is>
      </c>
      <c r="C218" s="17" t="n"/>
      <c r="D218" s="17" t="n"/>
      <c r="E218" s="17" t="n"/>
      <c r="F218" s="17" t="inlineStr">
        <is>
          <t>바닥 마감 범위 외</t>
        </is>
      </c>
      <c r="G218" s="17" t="n"/>
    </row>
    <row r="219">
      <c r="A219" s="22" t="n"/>
      <c r="B219" s="22" t="inlineStr">
        <is>
          <t>[산 출 범 위]</t>
        </is>
      </c>
      <c r="C219" s="22" t="n"/>
      <c r="D219" s="23" t="n"/>
      <c r="E219" s="23" t="n"/>
      <c r="F219" s="24" t="n"/>
      <c r="G219" s="22" t="n"/>
    </row>
    <row r="220" ht="25" customHeight="1">
      <c r="A220" s="17" t="n"/>
      <c r="B220" s="17" t="inlineStr">
        <is>
          <t>바닥</t>
        </is>
      </c>
      <c r="C220" s="17" t="inlineStr">
        <is>
          <t>비닐타일 깔기 [DT-03]</t>
        </is>
      </c>
      <c r="D220" s="17" t="inlineStr">
        <is>
          <t>데코타일 457x914</t>
        </is>
      </c>
      <c r="E220" s="17" t="inlineStr">
        <is>
          <t>M2</t>
        </is>
      </c>
      <c r="F220" s="17" t="inlineStr">
        <is>
          <t>A&lt;면적&gt; − 0&lt;기둥 공제&gt;</t>
        </is>
      </c>
      <c r="G220" s="17">
        <f>G215-0</f>
        <v/>
      </c>
    </row>
    <row r="221" ht="25" customHeight="1">
      <c r="A221" s="17" t="n"/>
      <c r="B221" s="17" t="inlineStr">
        <is>
          <t>걸레받이</t>
        </is>
      </c>
      <c r="C221" s="17" t="inlineStr">
        <is>
          <t>걸레받이 설치</t>
        </is>
      </c>
      <c r="D221" s="17" t="inlineStr">
        <is>
          <t>MDF+인테리어필름 T=9, H=30</t>
        </is>
      </c>
      <c r="E221" s="17" t="inlineStr">
        <is>
          <t>M</t>
        </is>
      </c>
      <c r="F221" s="17" t="inlineStr">
        <is>
          <t>B&lt;걸레받이&gt;</t>
        </is>
      </c>
      <c r="G221" s="17">
        <f>G217</f>
        <v/>
      </c>
    </row>
    <row r="222" ht="25" customHeight="1">
      <c r="A222" s="22" t="n"/>
      <c r="B222" s="22" t="inlineStr">
        <is>
          <t>[ 끝 ]</t>
        </is>
      </c>
      <c r="C222" s="22" t="n"/>
      <c r="D222" s="22" t="n"/>
      <c r="E222" s="22" t="n"/>
      <c r="F222" s="22" t="n"/>
      <c r="G222" s="22" t="n"/>
    </row>
    <row r="224">
      <c r="A224" s="18" t="inlineStr">
        <is>
          <t>도형</t>
        </is>
      </c>
      <c r="B224" s="18" t="inlineStr">
        <is>
          <t>부위</t>
        </is>
      </c>
      <c r="C224" s="18" t="inlineStr">
        <is>
          <t>품명</t>
        </is>
      </c>
      <c r="D224" s="18" t="inlineStr">
        <is>
          <t>규격</t>
        </is>
      </c>
      <c r="E224" s="18" t="inlineStr">
        <is>
          <t>단위</t>
        </is>
      </c>
      <c r="F224" s="18" t="inlineStr">
        <is>
          <t>산식</t>
        </is>
      </c>
      <c r="G224" s="18" t="inlineStr">
        <is>
          <t>물량</t>
        </is>
      </c>
    </row>
    <row r="225">
      <c r="A225" s="12" t="inlineStr">
        <is>
          <t>실명 : 3F 정책조정실</t>
        </is>
      </c>
      <c r="C225" s="12" t="inlineStr">
        <is>
          <t>개소 : 1</t>
        </is>
      </c>
      <c r="F225" s="19" t="inlineStr">
        <is>
          <t>신뢰도 mid</t>
        </is>
      </c>
    </row>
    <row r="226">
      <c r="A226" s="17" t="inlineStr">
        <is>
          <t>A</t>
        </is>
      </c>
      <c r="B226" s="17" t="inlineStr">
        <is>
          <t>(면 적)</t>
        </is>
      </c>
      <c r="C226" s="17" t="n"/>
      <c r="D226" s="17" t="n"/>
      <c r="E226" s="17" t="n"/>
      <c r="F226" s="17" t="inlineStr">
        <is>
          <t>5.250 × 4.890 = 25.672  +4.488&lt;가산 - 산출근거서 No.21&gt;</t>
        </is>
      </c>
      <c r="G226" s="20" t="n">
        <v>30.16</v>
      </c>
    </row>
    <row r="227">
      <c r="A227" s="17" t="inlineStr">
        <is>
          <t>L</t>
        </is>
      </c>
      <c r="B227" s="17" t="inlineStr">
        <is>
          <t>(둘 레)</t>
        </is>
      </c>
      <c r="C227" s="17" t="n"/>
      <c r="D227" s="17" t="n"/>
      <c r="E227" s="17" t="n"/>
      <c r="F227" s="17" t="inlineStr">
        <is>
          <t>비정형 - 사각형 근사 생략</t>
        </is>
      </c>
      <c r="G227" s="21" t="n"/>
    </row>
    <row r="228">
      <c r="A228" s="17" t="inlineStr">
        <is>
          <t>B</t>
        </is>
      </c>
      <c r="B228" s="17" t="inlineStr">
        <is>
          <t>(걸레받이)</t>
        </is>
      </c>
      <c r="C228" s="17" t="n"/>
      <c r="D228" s="17" t="n"/>
      <c r="E228" s="17" t="n"/>
      <c r="F228" s="17" t="inlineStr">
        <is>
          <t>둘레 − 개구부(문·폴딩도어) - 산출근거서 No.21</t>
        </is>
      </c>
      <c r="G228" s="20" t="n">
        <v>17.6</v>
      </c>
    </row>
    <row r="229">
      <c r="A229" s="17" t="inlineStr">
        <is>
          <t>H</t>
        </is>
      </c>
      <c r="B229" s="17" t="inlineStr">
        <is>
          <t>(마감높이)</t>
        </is>
      </c>
      <c r="C229" s="17" t="n"/>
      <c r="D229" s="17" t="n"/>
      <c r="E229" s="17" t="n"/>
      <c r="F229" s="17" t="inlineStr">
        <is>
          <t>바닥 마감 범위 외</t>
        </is>
      </c>
      <c r="G229" s="17" t="n"/>
    </row>
    <row r="230">
      <c r="A230" s="22" t="n"/>
      <c r="B230" s="22" t="inlineStr">
        <is>
          <t>[산 출 범 위]</t>
        </is>
      </c>
      <c r="C230" s="22" t="n"/>
      <c r="D230" s="23" t="n"/>
      <c r="E230" s="23" t="n"/>
      <c r="F230" s="24" t="n"/>
      <c r="G230" s="22" t="n"/>
    </row>
    <row r="231" ht="25" customHeight="1">
      <c r="A231" s="17" t="n"/>
      <c r="B231" s="17" t="inlineStr">
        <is>
          <t>바닥</t>
        </is>
      </c>
      <c r="C231" s="17" t="inlineStr">
        <is>
          <t>타일카펫 깔기 [CT-01]</t>
        </is>
      </c>
      <c r="D231" s="17" t="inlineStr">
        <is>
          <t>타일카펫 610x610</t>
        </is>
      </c>
      <c r="E231" s="17" t="inlineStr">
        <is>
          <t>M2</t>
        </is>
      </c>
      <c r="F231" s="17" t="inlineStr">
        <is>
          <t>A&lt;면적&gt; − 0&lt;기둥 공제&gt;</t>
        </is>
      </c>
      <c r="G231" s="17">
        <f>G226-0</f>
        <v/>
      </c>
    </row>
    <row r="232" ht="25" customHeight="1">
      <c r="A232" s="17" t="n"/>
      <c r="B232" s="17" t="inlineStr">
        <is>
          <t>걸레받이</t>
        </is>
      </c>
      <c r="C232" s="17" t="inlineStr">
        <is>
          <t>걸레받이 설치</t>
        </is>
      </c>
      <c r="D232" s="17" t="inlineStr">
        <is>
          <t>MDF+인테리어필름 T=9, H=30</t>
        </is>
      </c>
      <c r="E232" s="17" t="inlineStr">
        <is>
          <t>M</t>
        </is>
      </c>
      <c r="F232" s="17" t="inlineStr">
        <is>
          <t>B&lt;걸레받이&gt;</t>
        </is>
      </c>
      <c r="G232" s="17">
        <f>G228</f>
        <v/>
      </c>
    </row>
    <row r="233" ht="25" customHeight="1">
      <c r="A233" s="22" t="n"/>
      <c r="B233" s="22" t="inlineStr">
        <is>
          <t>[ 끝 ]</t>
        </is>
      </c>
      <c r="C233" s="22" t="n"/>
      <c r="D233" s="22" t="n"/>
      <c r="E233" s="22" t="n"/>
      <c r="F233" s="22" t="n"/>
      <c r="G233" s="22" t="n"/>
    </row>
    <row r="235">
      <c r="A235" s="18" t="inlineStr">
        <is>
          <t>도형</t>
        </is>
      </c>
      <c r="B235" s="18" t="inlineStr">
        <is>
          <t>부위</t>
        </is>
      </c>
      <c r="C235" s="18" t="inlineStr">
        <is>
          <t>품명</t>
        </is>
      </c>
      <c r="D235" s="18" t="inlineStr">
        <is>
          <t>규격</t>
        </is>
      </c>
      <c r="E235" s="18" t="inlineStr">
        <is>
          <t>단위</t>
        </is>
      </c>
      <c r="F235" s="18" t="inlineStr">
        <is>
          <t>산식</t>
        </is>
      </c>
      <c r="G235" s="18" t="inlineStr">
        <is>
          <t>물량</t>
        </is>
      </c>
    </row>
    <row r="236">
      <c r="A236" s="12" t="inlineStr">
        <is>
          <t>실명 : 3F 사무총장실</t>
        </is>
      </c>
      <c r="C236" s="12" t="inlineStr">
        <is>
          <t>개소 : 1</t>
        </is>
      </c>
      <c r="F236" s="19" t="inlineStr">
        <is>
          <t>신뢰도 low</t>
        </is>
      </c>
    </row>
    <row r="237">
      <c r="A237" s="17" t="inlineStr">
        <is>
          <t>A</t>
        </is>
      </c>
      <c r="B237" s="17" t="inlineStr">
        <is>
          <t>(면 적)</t>
        </is>
      </c>
      <c r="C237" s="17" t="n"/>
      <c r="D237" s="17" t="n"/>
      <c r="E237" s="17" t="n"/>
      <c r="F237" s="17" t="inlineStr">
        <is>
          <t>5.600 × 3.660 = 20.496</t>
        </is>
      </c>
      <c r="G237" s="20" t="n">
        <v>20.5</v>
      </c>
    </row>
    <row r="238">
      <c r="A238" s="17" t="inlineStr">
        <is>
          <t>L</t>
        </is>
      </c>
      <c r="B238" s="17" t="inlineStr">
        <is>
          <t>(둘 레)</t>
        </is>
      </c>
      <c r="C238" s="17" t="n"/>
      <c r="D238" s="17" t="n"/>
      <c r="E238" s="17" t="n"/>
      <c r="F238" s="17" t="inlineStr">
        <is>
          <t>2 × (5.600 + 3.660)</t>
        </is>
      </c>
      <c r="G238" s="21">
        <f>ROUND(2*(5.6+3.66),3)</f>
        <v/>
      </c>
    </row>
    <row r="239">
      <c r="A239" s="17" t="inlineStr">
        <is>
          <t>B</t>
        </is>
      </c>
      <c r="B239" s="17" t="inlineStr">
        <is>
          <t>(걸레받이)</t>
        </is>
      </c>
      <c r="C239" s="17" t="n"/>
      <c r="D239" s="17" t="n"/>
      <c r="E239" s="17" t="n"/>
      <c r="F239" s="17" t="inlineStr">
        <is>
          <t>둘레 − 개구부(문·폴딩도어) - 산출근거서 No.22</t>
        </is>
      </c>
      <c r="G239" s="20" t="n">
        <v>13.5</v>
      </c>
    </row>
    <row r="240">
      <c r="A240" s="17" t="inlineStr">
        <is>
          <t>H</t>
        </is>
      </c>
      <c r="B240" s="17" t="inlineStr">
        <is>
          <t>(마감높이)</t>
        </is>
      </c>
      <c r="C240" s="17" t="n"/>
      <c r="D240" s="17" t="n"/>
      <c r="E240" s="17" t="n"/>
      <c r="F240" s="17" t="inlineStr">
        <is>
          <t>바닥 마감 범위 외</t>
        </is>
      </c>
      <c r="G240" s="17" t="n"/>
    </row>
    <row r="241">
      <c r="A241" s="22" t="n"/>
      <c r="B241" s="22" t="inlineStr">
        <is>
          <t>[산 출 범 위]</t>
        </is>
      </c>
      <c r="C241" s="22" t="n"/>
      <c r="D241" s="23" t="n"/>
      <c r="E241" s="23" t="n"/>
      <c r="F241" s="24" t="n"/>
      <c r="G241" s="22" t="n"/>
    </row>
    <row r="242" ht="25" customHeight="1">
      <c r="A242" s="17" t="n"/>
      <c r="B242" s="17" t="inlineStr">
        <is>
          <t>바닥</t>
        </is>
      </c>
      <c r="C242" s="17" t="inlineStr">
        <is>
          <t>타일카펫 깔기 [CT-01]</t>
        </is>
      </c>
      <c r="D242" s="17" t="inlineStr">
        <is>
          <t>타일카펫 610x610</t>
        </is>
      </c>
      <c r="E242" s="17" t="inlineStr">
        <is>
          <t>M2</t>
        </is>
      </c>
      <c r="F242" s="17" t="inlineStr">
        <is>
          <t>A&lt;면적&gt; − 0&lt;기둥 공제&gt;</t>
        </is>
      </c>
      <c r="G242" s="17">
        <f>G237-0</f>
        <v/>
      </c>
    </row>
    <row r="243" ht="25" customHeight="1">
      <c r="A243" s="17" t="n"/>
      <c r="B243" s="17" t="inlineStr">
        <is>
          <t>걸레받이</t>
        </is>
      </c>
      <c r="C243" s="17" t="inlineStr">
        <is>
          <t>걸레받이 설치</t>
        </is>
      </c>
      <c r="D243" s="17" t="inlineStr">
        <is>
          <t>MDF+인테리어필름 T=9, H=30</t>
        </is>
      </c>
      <c r="E243" s="17" t="inlineStr">
        <is>
          <t>M</t>
        </is>
      </c>
      <c r="F243" s="17" t="inlineStr">
        <is>
          <t>B&lt;걸레받이&gt;</t>
        </is>
      </c>
      <c r="G243" s="17">
        <f>G239</f>
        <v/>
      </c>
    </row>
    <row r="244" ht="25" customHeight="1">
      <c r="A244" s="22" t="n"/>
      <c r="B244" s="22" t="inlineStr">
        <is>
          <t>[ 끝 ]</t>
        </is>
      </c>
      <c r="C244" s="22" t="n"/>
      <c r="D244" s="22" t="n"/>
      <c r="E244" s="22" t="n"/>
      <c r="F244" s="22" t="n"/>
      <c r="G244" s="22" t="n"/>
    </row>
    <row r="246">
      <c r="A246" s="18" t="inlineStr">
        <is>
          <t>도형</t>
        </is>
      </c>
      <c r="B246" s="18" t="inlineStr">
        <is>
          <t>부위</t>
        </is>
      </c>
      <c r="C246" s="18" t="inlineStr">
        <is>
          <t>품명</t>
        </is>
      </c>
      <c r="D246" s="18" t="inlineStr">
        <is>
          <t>규격</t>
        </is>
      </c>
      <c r="E246" s="18" t="inlineStr">
        <is>
          <t>단위</t>
        </is>
      </c>
      <c r="F246" s="18" t="inlineStr">
        <is>
          <t>산식</t>
        </is>
      </c>
      <c r="G246" s="18" t="inlineStr">
        <is>
          <t>물량</t>
        </is>
      </c>
    </row>
    <row r="247">
      <c r="A247" s="12" t="inlineStr">
        <is>
          <t>실명 : 3F 사무국장실</t>
        </is>
      </c>
      <c r="C247" s="12" t="inlineStr">
        <is>
          <t>개소 : 1</t>
        </is>
      </c>
      <c r="F247" s="19" t="inlineStr">
        <is>
          <t>신뢰도 mid</t>
        </is>
      </c>
    </row>
    <row r="248">
      <c r="A248" s="17" t="inlineStr">
        <is>
          <t>A</t>
        </is>
      </c>
      <c r="B248" s="17" t="inlineStr">
        <is>
          <t>(면 적)</t>
        </is>
      </c>
      <c r="C248" s="17" t="n"/>
      <c r="D248" s="17" t="n"/>
      <c r="E248" s="17" t="n"/>
      <c r="F248" s="17" t="inlineStr">
        <is>
          <t>3.384 × 4.445 = 15.042  -0.212&lt;공제 - 산출근거서 No.23&gt;</t>
        </is>
      </c>
      <c r="G248" s="20" t="n">
        <v>14.83</v>
      </c>
    </row>
    <row r="249">
      <c r="A249" s="17" t="inlineStr">
        <is>
          <t>L</t>
        </is>
      </c>
      <c r="B249" s="17" t="inlineStr">
        <is>
          <t>(둘 레)</t>
        </is>
      </c>
      <c r="C249" s="17" t="n"/>
      <c r="D249" s="17" t="n"/>
      <c r="E249" s="17" t="n"/>
      <c r="F249" s="17" t="inlineStr">
        <is>
          <t>비정형 - 사각형 근사 생략</t>
        </is>
      </c>
      <c r="G249" s="21" t="n"/>
    </row>
    <row r="250">
      <c r="A250" s="17" t="inlineStr">
        <is>
          <t>B</t>
        </is>
      </c>
      <c r="B250" s="17" t="inlineStr">
        <is>
          <t>(걸레받이)</t>
        </is>
      </c>
      <c r="C250" s="17" t="n"/>
      <c r="D250" s="17" t="n"/>
      <c r="E250" s="17" t="n"/>
      <c r="F250" s="17" t="inlineStr">
        <is>
          <t>둘레 − 개구부(문·폴딩도어) - 산출근거서 No.23</t>
        </is>
      </c>
      <c r="G250" s="20" t="n">
        <v>9.6</v>
      </c>
    </row>
    <row r="251">
      <c r="A251" s="17" t="inlineStr">
        <is>
          <t>H</t>
        </is>
      </c>
      <c r="B251" s="17" t="inlineStr">
        <is>
          <t>(마감높이)</t>
        </is>
      </c>
      <c r="C251" s="17" t="n"/>
      <c r="D251" s="17" t="n"/>
      <c r="E251" s="17" t="n"/>
      <c r="F251" s="17" t="inlineStr">
        <is>
          <t>바닥 마감 범위 외</t>
        </is>
      </c>
      <c r="G251" s="17" t="n"/>
    </row>
    <row r="252">
      <c r="A252" s="22" t="n"/>
      <c r="B252" s="22" t="inlineStr">
        <is>
          <t>[산 출 범 위]</t>
        </is>
      </c>
      <c r="C252" s="22" t="n"/>
      <c r="D252" s="23" t="n"/>
      <c r="E252" s="23" t="n"/>
      <c r="F252" s="24" t="n"/>
      <c r="G252" s="22" t="n"/>
    </row>
    <row r="253" ht="25" customHeight="1">
      <c r="A253" s="17" t="n"/>
      <c r="B253" s="17" t="inlineStr">
        <is>
          <t>바닥</t>
        </is>
      </c>
      <c r="C253" s="17" t="inlineStr">
        <is>
          <t>타일카펫 깔기 [CT-01]</t>
        </is>
      </c>
      <c r="D253" s="17" t="inlineStr">
        <is>
          <t>타일카펫 610x610</t>
        </is>
      </c>
      <c r="E253" s="17" t="inlineStr">
        <is>
          <t>M2</t>
        </is>
      </c>
      <c r="F253" s="17" t="inlineStr">
        <is>
          <t>A&lt;면적&gt; − 0&lt;기둥 공제&gt;</t>
        </is>
      </c>
      <c r="G253" s="17">
        <f>G248-0</f>
        <v/>
      </c>
    </row>
    <row r="254" ht="25" customHeight="1">
      <c r="A254" s="17" t="n"/>
      <c r="B254" s="17" t="inlineStr">
        <is>
          <t>걸레받이</t>
        </is>
      </c>
      <c r="C254" s="17" t="inlineStr">
        <is>
          <t>걸레받이 설치</t>
        </is>
      </c>
      <c r="D254" s="17" t="inlineStr">
        <is>
          <t>MDF+인테리어필름 T=9, H=30</t>
        </is>
      </c>
      <c r="E254" s="17" t="inlineStr">
        <is>
          <t>M</t>
        </is>
      </c>
      <c r="F254" s="17" t="inlineStr">
        <is>
          <t>B&lt;걸레받이&gt;</t>
        </is>
      </c>
      <c r="G254" s="17">
        <f>G250</f>
        <v/>
      </c>
    </row>
    <row r="255" ht="25" customHeight="1">
      <c r="A255" s="22" t="n"/>
      <c r="B255" s="22" t="inlineStr">
        <is>
          <t>[ 끝 ]</t>
        </is>
      </c>
      <c r="C255" s="22" t="n"/>
      <c r="D255" s="22" t="n"/>
      <c r="E255" s="22" t="n"/>
      <c r="F255" s="22" t="n"/>
      <c r="G255" s="22" t="n"/>
    </row>
    <row r="257">
      <c r="A257" s="18" t="inlineStr">
        <is>
          <t>도형</t>
        </is>
      </c>
      <c r="B257" s="18" t="inlineStr">
        <is>
          <t>부위</t>
        </is>
      </c>
      <c r="C257" s="18" t="inlineStr">
        <is>
          <t>품명</t>
        </is>
      </c>
      <c r="D257" s="18" t="inlineStr">
        <is>
          <t>규격</t>
        </is>
      </c>
      <c r="E257" s="18" t="inlineStr">
        <is>
          <t>단위</t>
        </is>
      </c>
      <c r="F257" s="18" t="inlineStr">
        <is>
          <t>산식</t>
        </is>
      </c>
      <c r="G257" s="18" t="inlineStr">
        <is>
          <t>물량</t>
        </is>
      </c>
    </row>
    <row r="258">
      <c r="A258" s="12" t="inlineStr">
        <is>
          <t>실명 : 3F 중회의실(임원휴게실)</t>
        </is>
      </c>
      <c r="C258" s="12" t="inlineStr">
        <is>
          <t>개소 : 1</t>
        </is>
      </c>
      <c r="F258" s="19" t="inlineStr">
        <is>
          <t>신뢰도 mid</t>
        </is>
      </c>
    </row>
    <row r="259">
      <c r="A259" s="17" t="inlineStr">
        <is>
          <t>A</t>
        </is>
      </c>
      <c r="B259" s="17" t="inlineStr">
        <is>
          <t>(면 적)</t>
        </is>
      </c>
      <c r="C259" s="17" t="n"/>
      <c r="D259" s="17" t="n"/>
      <c r="E259" s="17" t="n"/>
      <c r="F259" s="17" t="inlineStr">
        <is>
          <t>3.198 × 4.445 = 14.215</t>
        </is>
      </c>
      <c r="G259" s="20" t="n">
        <v>14.22</v>
      </c>
    </row>
    <row r="260">
      <c r="A260" s="17" t="inlineStr">
        <is>
          <t>L</t>
        </is>
      </c>
      <c r="B260" s="17" t="inlineStr">
        <is>
          <t>(둘 레)</t>
        </is>
      </c>
      <c r="C260" s="17" t="n"/>
      <c r="D260" s="17" t="n"/>
      <c r="E260" s="17" t="n"/>
      <c r="F260" s="17" t="inlineStr">
        <is>
          <t>2 × (3.198 + 4.445)</t>
        </is>
      </c>
      <c r="G260" s="21">
        <f>ROUND(2*(3.198+4.445),3)</f>
        <v/>
      </c>
    </row>
    <row r="261">
      <c r="A261" s="17" t="inlineStr">
        <is>
          <t>B</t>
        </is>
      </c>
      <c r="B261" s="17" t="inlineStr">
        <is>
          <t>(걸레받이)</t>
        </is>
      </c>
      <c r="C261" s="17" t="n"/>
      <c r="D261" s="17" t="n"/>
      <c r="E261" s="17" t="n"/>
      <c r="F261" s="17" t="inlineStr">
        <is>
          <t>둘레 − 개구부(문·폴딩도어) - 산출근거서 No.24</t>
        </is>
      </c>
      <c r="G261" s="20" t="n">
        <v>3.9</v>
      </c>
    </row>
    <row r="262">
      <c r="A262" s="17" t="inlineStr">
        <is>
          <t>H</t>
        </is>
      </c>
      <c r="B262" s="17" t="inlineStr">
        <is>
          <t>(마감높이)</t>
        </is>
      </c>
      <c r="C262" s="17" t="n"/>
      <c r="D262" s="17" t="n"/>
      <c r="E262" s="17" t="n"/>
      <c r="F262" s="17" t="inlineStr">
        <is>
          <t>바닥 마감 범위 외</t>
        </is>
      </c>
      <c r="G262" s="17" t="n"/>
    </row>
    <row r="263">
      <c r="A263" s="22" t="n"/>
      <c r="B263" s="22" t="inlineStr">
        <is>
          <t>[산 출 범 위]</t>
        </is>
      </c>
      <c r="C263" s="22" t="n"/>
      <c r="D263" s="23" t="n"/>
      <c r="E263" s="23" t="n"/>
      <c r="F263" s="24" t="n"/>
      <c r="G263" s="22" t="n"/>
    </row>
    <row r="264" ht="25" customHeight="1">
      <c r="A264" s="17" t="n"/>
      <c r="B264" s="17" t="inlineStr">
        <is>
          <t>바닥</t>
        </is>
      </c>
      <c r="C264" s="17" t="inlineStr">
        <is>
          <t>타일카펫 깔기 [CT-02]</t>
        </is>
      </c>
      <c r="D264" s="17" t="inlineStr">
        <is>
          <t>타일카펫 610x610</t>
        </is>
      </c>
      <c r="E264" s="17" t="inlineStr">
        <is>
          <t>M2</t>
        </is>
      </c>
      <c r="F264" s="17" t="inlineStr">
        <is>
          <t>A&lt;면적&gt; − 0&lt;기둥 공제&gt;</t>
        </is>
      </c>
      <c r="G264" s="17">
        <f>G259-0</f>
        <v/>
      </c>
    </row>
    <row r="265" ht="25" customHeight="1">
      <c r="A265" s="17" t="n"/>
      <c r="B265" s="17" t="inlineStr">
        <is>
          <t>걸레받이</t>
        </is>
      </c>
      <c r="C265" s="17" t="inlineStr">
        <is>
          <t>걸레받이 설치</t>
        </is>
      </c>
      <c r="D265" s="17" t="inlineStr">
        <is>
          <t>MDF+인테리어필름 T=9, H=30</t>
        </is>
      </c>
      <c r="E265" s="17" t="inlineStr">
        <is>
          <t>M</t>
        </is>
      </c>
      <c r="F265" s="17" t="inlineStr">
        <is>
          <t>B&lt;걸레받이&gt;</t>
        </is>
      </c>
      <c r="G265" s="17">
        <f>G261</f>
        <v/>
      </c>
    </row>
    <row r="266" ht="25" customHeight="1">
      <c r="A266" s="22" t="n"/>
      <c r="B266" s="22" t="inlineStr">
        <is>
          <t>[ 끝 ]</t>
        </is>
      </c>
      <c r="C266" s="22" t="n"/>
      <c r="D266" s="22" t="n"/>
      <c r="E266" s="22" t="n"/>
      <c r="F266" s="22" t="n"/>
      <c r="G266" s="22" t="n"/>
    </row>
    <row r="268">
      <c r="A268" s="18" t="inlineStr">
        <is>
          <t>도형</t>
        </is>
      </c>
      <c r="B268" s="18" t="inlineStr">
        <is>
          <t>부위</t>
        </is>
      </c>
      <c r="C268" s="18" t="inlineStr">
        <is>
          <t>품명</t>
        </is>
      </c>
      <c r="D268" s="18" t="inlineStr">
        <is>
          <t>규격</t>
        </is>
      </c>
      <c r="E268" s="18" t="inlineStr">
        <is>
          <t>단위</t>
        </is>
      </c>
      <c r="F268" s="18" t="inlineStr">
        <is>
          <t>산식</t>
        </is>
      </c>
      <c r="G268" s="18" t="inlineStr">
        <is>
          <t>물량</t>
        </is>
      </c>
    </row>
    <row r="269">
      <c r="A269" s="12" t="inlineStr">
        <is>
          <t>실명 : 3F 중회의실-1</t>
        </is>
      </c>
      <c r="C269" s="12" t="inlineStr">
        <is>
          <t>개소 : 1</t>
        </is>
      </c>
      <c r="F269" s="19" t="inlineStr">
        <is>
          <t>신뢰도 mid</t>
        </is>
      </c>
    </row>
    <row r="270">
      <c r="A270" s="17" t="inlineStr">
        <is>
          <t>A</t>
        </is>
      </c>
      <c r="B270" s="17" t="inlineStr">
        <is>
          <t>(면 적)</t>
        </is>
      </c>
      <c r="C270" s="17" t="n"/>
      <c r="D270" s="17" t="n"/>
      <c r="E270" s="17" t="n"/>
      <c r="F270" s="17" t="inlineStr">
        <is>
          <t>3.198 × 4.445 = 14.215  -0.205&lt;공제 - 산출근거서 No.25&gt;</t>
        </is>
      </c>
      <c r="G270" s="20" t="n">
        <v>14.01</v>
      </c>
    </row>
    <row r="271">
      <c r="A271" s="17" t="inlineStr">
        <is>
          <t>L</t>
        </is>
      </c>
      <c r="B271" s="17" t="inlineStr">
        <is>
          <t>(둘 레)</t>
        </is>
      </c>
      <c r="C271" s="17" t="n"/>
      <c r="D271" s="17" t="n"/>
      <c r="E271" s="17" t="n"/>
      <c r="F271" s="17" t="inlineStr">
        <is>
          <t>비정형 - 사각형 근사 생략</t>
        </is>
      </c>
      <c r="G271" s="21" t="n"/>
    </row>
    <row r="272">
      <c r="A272" s="17" t="inlineStr">
        <is>
          <t>B</t>
        </is>
      </c>
      <c r="B272" s="17" t="inlineStr">
        <is>
          <t>(걸레받이)</t>
        </is>
      </c>
      <c r="C272" s="17" t="n"/>
      <c r="D272" s="17" t="n"/>
      <c r="E272" s="17" t="n"/>
      <c r="F272" s="17" t="inlineStr">
        <is>
          <t>둘레 − 개구부(문·폴딩도어) - 산출근거서 No.25</t>
        </is>
      </c>
      <c r="G272" s="20" t="n">
        <v>0</v>
      </c>
    </row>
    <row r="273">
      <c r="A273" s="17" t="inlineStr">
        <is>
          <t>H</t>
        </is>
      </c>
      <c r="B273" s="17" t="inlineStr">
        <is>
          <t>(마감높이)</t>
        </is>
      </c>
      <c r="C273" s="17" t="n"/>
      <c r="D273" s="17" t="n"/>
      <c r="E273" s="17" t="n"/>
      <c r="F273" s="17" t="inlineStr">
        <is>
          <t>바닥 마감 범위 외</t>
        </is>
      </c>
      <c r="G273" s="17" t="n"/>
    </row>
    <row r="274">
      <c r="A274" s="22" t="n"/>
      <c r="B274" s="22" t="inlineStr">
        <is>
          <t>[산 출 범 위]</t>
        </is>
      </c>
      <c r="C274" s="22" t="n"/>
      <c r="D274" s="23" t="n"/>
      <c r="E274" s="23" t="n"/>
      <c r="F274" s="24" t="n"/>
      <c r="G274" s="22" t="n"/>
    </row>
    <row r="275" ht="25" customHeight="1">
      <c r="A275" s="17" t="n"/>
      <c r="B275" s="17" t="inlineStr">
        <is>
          <t>바닥</t>
        </is>
      </c>
      <c r="C275" s="17" t="inlineStr">
        <is>
          <t>타일카펫 깔기 [CT-02]</t>
        </is>
      </c>
      <c r="D275" s="17" t="inlineStr">
        <is>
          <t>타일카펫 610x610</t>
        </is>
      </c>
      <c r="E275" s="17" t="inlineStr">
        <is>
          <t>M2</t>
        </is>
      </c>
      <c r="F275" s="17" t="inlineStr">
        <is>
          <t>A&lt;면적&gt; − 0&lt;기둥 공제&gt;</t>
        </is>
      </c>
      <c r="G275" s="17">
        <f>G270-0</f>
        <v/>
      </c>
    </row>
    <row r="276" ht="25" customHeight="1">
      <c r="A276" s="17" t="n"/>
      <c r="B276" s="17" t="inlineStr">
        <is>
          <t>걸레받이</t>
        </is>
      </c>
      <c r="C276" s="17" t="inlineStr">
        <is>
          <t>걸레받이 설치</t>
        </is>
      </c>
      <c r="D276" s="17" t="inlineStr">
        <is>
          <t>MDF+인테리어필름 T=9, H=30</t>
        </is>
      </c>
      <c r="E276" s="17" t="inlineStr">
        <is>
          <t>M</t>
        </is>
      </c>
      <c r="F276" s="17" t="inlineStr">
        <is>
          <t>B&lt;걸레받이&gt;</t>
        </is>
      </c>
      <c r="G276" s="17">
        <f>G272</f>
        <v/>
      </c>
    </row>
    <row r="277" ht="25" customHeight="1">
      <c r="A277" s="22" t="n"/>
      <c r="B277" s="22" t="inlineStr">
        <is>
          <t>[ 끝 ]</t>
        </is>
      </c>
      <c r="C277" s="22" t="n"/>
      <c r="D277" s="22" t="n"/>
      <c r="E277" s="22" t="n"/>
      <c r="F277" s="22" t="n"/>
      <c r="G277" s="22" t="n"/>
    </row>
    <row r="279">
      <c r="A279" s="18" t="inlineStr">
        <is>
          <t>도형</t>
        </is>
      </c>
      <c r="B279" s="18" t="inlineStr">
        <is>
          <t>부위</t>
        </is>
      </c>
      <c r="C279" s="18" t="inlineStr">
        <is>
          <t>품명</t>
        </is>
      </c>
      <c r="D279" s="18" t="inlineStr">
        <is>
          <t>규격</t>
        </is>
      </c>
      <c r="E279" s="18" t="inlineStr">
        <is>
          <t>단위</t>
        </is>
      </c>
      <c r="F279" s="18" t="inlineStr">
        <is>
          <t>산식</t>
        </is>
      </c>
      <c r="G279" s="18" t="inlineStr">
        <is>
          <t>물량</t>
        </is>
      </c>
    </row>
    <row r="280">
      <c r="A280" s="12" t="inlineStr">
        <is>
          <t>실명 : 3F 대회의실</t>
        </is>
      </c>
      <c r="C280" s="12" t="inlineStr">
        <is>
          <t>개소 : 1</t>
        </is>
      </c>
      <c r="F280" s="19" t="inlineStr">
        <is>
          <t>신뢰도 mid</t>
        </is>
      </c>
    </row>
    <row r="281">
      <c r="A281" s="17" t="inlineStr">
        <is>
          <t>A</t>
        </is>
      </c>
      <c r="B281" s="17" t="inlineStr">
        <is>
          <t>(면 적)</t>
        </is>
      </c>
      <c r="C281" s="17" t="n"/>
      <c r="D281" s="17" t="n"/>
      <c r="E281" s="17" t="n"/>
      <c r="F281" s="17" t="inlineStr">
        <is>
          <t>5.098 × 4.445 = 22.661</t>
        </is>
      </c>
      <c r="G281" s="20" t="n">
        <v>22.66</v>
      </c>
    </row>
    <row r="282">
      <c r="A282" s="17" t="inlineStr">
        <is>
          <t>L</t>
        </is>
      </c>
      <c r="B282" s="17" t="inlineStr">
        <is>
          <t>(둘 레)</t>
        </is>
      </c>
      <c r="C282" s="17" t="n"/>
      <c r="D282" s="17" t="n"/>
      <c r="E282" s="17" t="n"/>
      <c r="F282" s="17" t="inlineStr">
        <is>
          <t>2 × (5.098 + 4.445)</t>
        </is>
      </c>
      <c r="G282" s="21">
        <f>ROUND(2*(5.098+4.445),3)</f>
        <v/>
      </c>
    </row>
    <row r="283">
      <c r="A283" s="17" t="inlineStr">
        <is>
          <t>B</t>
        </is>
      </c>
      <c r="B283" s="17" t="inlineStr">
        <is>
          <t>(걸레받이)</t>
        </is>
      </c>
      <c r="C283" s="17" t="n"/>
      <c r="D283" s="17" t="n"/>
      <c r="E283" s="17" t="n"/>
      <c r="F283" s="17" t="inlineStr">
        <is>
          <t>둘레 − 개구부(문·폴딩도어) - 산출근거서 No.26</t>
        </is>
      </c>
      <c r="G283" s="20" t="n">
        <v>3.9</v>
      </c>
    </row>
    <row r="284">
      <c r="A284" s="17" t="inlineStr">
        <is>
          <t>H</t>
        </is>
      </c>
      <c r="B284" s="17" t="inlineStr">
        <is>
          <t>(마감높이)</t>
        </is>
      </c>
      <c r="C284" s="17" t="n"/>
      <c r="D284" s="17" t="n"/>
      <c r="E284" s="17" t="n"/>
      <c r="F284" s="17" t="inlineStr">
        <is>
          <t>바닥 마감 범위 외</t>
        </is>
      </c>
      <c r="G284" s="17" t="n"/>
    </row>
    <row r="285">
      <c r="A285" s="22" t="n"/>
      <c r="B285" s="22" t="inlineStr">
        <is>
          <t>[산 출 범 위]</t>
        </is>
      </c>
      <c r="C285" s="22" t="n"/>
      <c r="D285" s="23" t="n"/>
      <c r="E285" s="23" t="n"/>
      <c r="F285" s="24" t="n"/>
      <c r="G285" s="22" t="n"/>
    </row>
    <row r="286" ht="25" customHeight="1">
      <c r="A286" s="17" t="n"/>
      <c r="B286" s="17" t="inlineStr">
        <is>
          <t>바닥</t>
        </is>
      </c>
      <c r="C286" s="17" t="inlineStr">
        <is>
          <t>타일카펫 깔기 [CT-02]</t>
        </is>
      </c>
      <c r="D286" s="17" t="inlineStr">
        <is>
          <t>타일카펫 610x610</t>
        </is>
      </c>
      <c r="E286" s="17" t="inlineStr">
        <is>
          <t>M2</t>
        </is>
      </c>
      <c r="F286" s="17" t="inlineStr">
        <is>
          <t>A&lt;면적&gt; − 0&lt;기둥 공제&gt;</t>
        </is>
      </c>
      <c r="G286" s="17">
        <f>G281-0</f>
        <v/>
      </c>
    </row>
    <row r="287" ht="25" customHeight="1">
      <c r="A287" s="17" t="n"/>
      <c r="B287" s="17" t="inlineStr">
        <is>
          <t>걸레받이</t>
        </is>
      </c>
      <c r="C287" s="17" t="inlineStr">
        <is>
          <t>걸레받이 설치</t>
        </is>
      </c>
      <c r="D287" s="17" t="inlineStr">
        <is>
          <t>MDF+인테리어필름 T=9, H=30</t>
        </is>
      </c>
      <c r="E287" s="17" t="inlineStr">
        <is>
          <t>M</t>
        </is>
      </c>
      <c r="F287" s="17" t="inlineStr">
        <is>
          <t>B&lt;걸레받이&gt;</t>
        </is>
      </c>
      <c r="G287" s="17">
        <f>G283</f>
        <v/>
      </c>
    </row>
    <row r="288" ht="25" customHeight="1">
      <c r="A288" s="22" t="n"/>
      <c r="B288" s="22" t="inlineStr">
        <is>
          <t>[ 끝 ]</t>
        </is>
      </c>
      <c r="C288" s="22" t="n"/>
      <c r="D288" s="22" t="n"/>
      <c r="E288" s="22" t="n"/>
      <c r="F288" s="22" t="n"/>
      <c r="G288" s="22" t="n"/>
    </row>
    <row r="290">
      <c r="A290" s="18" t="inlineStr">
        <is>
          <t>도형</t>
        </is>
      </c>
      <c r="B290" s="18" t="inlineStr">
        <is>
          <t>부위</t>
        </is>
      </c>
      <c r="C290" s="18" t="inlineStr">
        <is>
          <t>품명</t>
        </is>
      </c>
      <c r="D290" s="18" t="inlineStr">
        <is>
          <t>규격</t>
        </is>
      </c>
      <c r="E290" s="18" t="inlineStr">
        <is>
          <t>단위</t>
        </is>
      </c>
      <c r="F290" s="18" t="inlineStr">
        <is>
          <t>산식</t>
        </is>
      </c>
      <c r="G290" s="18" t="inlineStr">
        <is>
          <t>물량</t>
        </is>
      </c>
    </row>
    <row r="291">
      <c r="A291" s="12" t="inlineStr">
        <is>
          <t>실명 : 3F 접견실</t>
        </is>
      </c>
      <c r="C291" s="12" t="inlineStr">
        <is>
          <t>개소 : 1</t>
        </is>
      </c>
      <c r="F291" s="19" t="inlineStr">
        <is>
          <t>신뢰도 mid</t>
        </is>
      </c>
    </row>
    <row r="292">
      <c r="A292" s="17" t="inlineStr">
        <is>
          <t>A</t>
        </is>
      </c>
      <c r="B292" s="17" t="inlineStr">
        <is>
          <t>(면 적)</t>
        </is>
      </c>
      <c r="C292" s="17" t="n"/>
      <c r="D292" s="17" t="n"/>
      <c r="E292" s="17" t="n"/>
      <c r="F292" s="17" t="inlineStr">
        <is>
          <t>5.145 × 6.900 = 35.501  +6.549&lt;가산 - 산출근거서 No.27&gt;</t>
        </is>
      </c>
      <c r="G292" s="20" t="n">
        <v>42.05</v>
      </c>
    </row>
    <row r="293">
      <c r="A293" s="17" t="inlineStr">
        <is>
          <t>L</t>
        </is>
      </c>
      <c r="B293" s="17" t="inlineStr">
        <is>
          <t>(둘 레)</t>
        </is>
      </c>
      <c r="C293" s="17" t="n"/>
      <c r="D293" s="17" t="n"/>
      <c r="E293" s="17" t="n"/>
      <c r="F293" s="17" t="inlineStr">
        <is>
          <t>비정형 - 사각형 근사 생략</t>
        </is>
      </c>
      <c r="G293" s="21" t="n"/>
    </row>
    <row r="294">
      <c r="A294" s="17" t="inlineStr">
        <is>
          <t>B</t>
        </is>
      </c>
      <c r="B294" s="17" t="inlineStr">
        <is>
          <t>(걸레받이)</t>
        </is>
      </c>
      <c r="C294" s="17" t="n"/>
      <c r="D294" s="17" t="n"/>
      <c r="E294" s="17" t="n"/>
      <c r="F294" s="17" t="inlineStr">
        <is>
          <t>둘레 − 개구부(문·폴딩도어) - 산출근거서 No.27</t>
        </is>
      </c>
      <c r="G294" s="20" t="n">
        <v>15.3</v>
      </c>
    </row>
    <row r="295">
      <c r="A295" s="17" t="inlineStr">
        <is>
          <t>H</t>
        </is>
      </c>
      <c r="B295" s="17" t="inlineStr">
        <is>
          <t>(마감높이)</t>
        </is>
      </c>
      <c r="C295" s="17" t="n"/>
      <c r="D295" s="17" t="n"/>
      <c r="E295" s="17" t="n"/>
      <c r="F295" s="17" t="inlineStr">
        <is>
          <t>바닥 마감 범위 외</t>
        </is>
      </c>
      <c r="G295" s="17" t="n"/>
    </row>
    <row r="296">
      <c r="A296" s="22" t="n"/>
      <c r="B296" s="22" t="inlineStr">
        <is>
          <t>[산 출 범 위]</t>
        </is>
      </c>
      <c r="C296" s="22" t="n"/>
      <c r="D296" s="23" t="n"/>
      <c r="E296" s="23" t="n"/>
      <c r="F296" s="24" t="n"/>
      <c r="G296" s="22" t="n"/>
    </row>
    <row r="297" ht="25" customHeight="1">
      <c r="A297" s="17" t="n"/>
      <c r="B297" s="17" t="inlineStr">
        <is>
          <t>바닥</t>
        </is>
      </c>
      <c r="C297" s="17" t="inlineStr">
        <is>
          <t>타일카펫 깔기 [CT-03]</t>
        </is>
      </c>
      <c r="D297" s="17" t="inlineStr">
        <is>
          <t>타일카펫 610x610</t>
        </is>
      </c>
      <c r="E297" s="17" t="inlineStr">
        <is>
          <t>M2</t>
        </is>
      </c>
      <c r="F297" s="17" t="inlineStr">
        <is>
          <t>A&lt;면적&gt; − 0&lt;기둥 공제&gt;</t>
        </is>
      </c>
      <c r="G297" s="17">
        <f>G292-0</f>
        <v/>
      </c>
    </row>
    <row r="298" ht="25" customHeight="1">
      <c r="A298" s="17" t="n"/>
      <c r="B298" s="17" t="inlineStr">
        <is>
          <t>걸레받이</t>
        </is>
      </c>
      <c r="C298" s="17" t="inlineStr">
        <is>
          <t>걸레받이 설치</t>
        </is>
      </c>
      <c r="D298" s="17" t="inlineStr">
        <is>
          <t>MDF+인테리어필름 T=9, H=30</t>
        </is>
      </c>
      <c r="E298" s="17" t="inlineStr">
        <is>
          <t>M</t>
        </is>
      </c>
      <c r="F298" s="17" t="inlineStr">
        <is>
          <t>B&lt;걸레받이&gt;</t>
        </is>
      </c>
      <c r="G298" s="17">
        <f>G294</f>
        <v/>
      </c>
    </row>
    <row r="299" ht="25" customHeight="1">
      <c r="A299" s="22" t="n"/>
      <c r="B299" s="22" t="inlineStr">
        <is>
          <t>[ 끝 ]</t>
        </is>
      </c>
      <c r="C299" s="22" t="n"/>
      <c r="D299" s="22" t="n"/>
      <c r="E299" s="22" t="n"/>
      <c r="F299" s="22" t="n"/>
      <c r="G299" s="22" t="n"/>
    </row>
    <row r="301">
      <c r="A301" s="18" t="inlineStr">
        <is>
          <t>도형</t>
        </is>
      </c>
      <c r="B301" s="18" t="inlineStr">
        <is>
          <t>부위</t>
        </is>
      </c>
      <c r="C301" s="18" t="inlineStr">
        <is>
          <t>품명</t>
        </is>
      </c>
      <c r="D301" s="18" t="inlineStr">
        <is>
          <t>규격</t>
        </is>
      </c>
      <c r="E301" s="18" t="inlineStr">
        <is>
          <t>단위</t>
        </is>
      </c>
      <c r="F301" s="18" t="inlineStr">
        <is>
          <t>산식</t>
        </is>
      </c>
      <c r="G301" s="18" t="inlineStr">
        <is>
          <t>물량</t>
        </is>
      </c>
    </row>
    <row r="302">
      <c r="A302" s="12" t="inlineStr">
        <is>
          <t>실명 : 3F 협회장실</t>
        </is>
      </c>
      <c r="C302" s="12" t="inlineStr">
        <is>
          <t>개소 : 1</t>
        </is>
      </c>
      <c r="F302" s="19" t="inlineStr">
        <is>
          <t>신뢰도 mid</t>
        </is>
      </c>
    </row>
    <row r="303">
      <c r="A303" s="17" t="inlineStr">
        <is>
          <t>A</t>
        </is>
      </c>
      <c r="B303" s="17" t="inlineStr">
        <is>
          <t>(면 적)</t>
        </is>
      </c>
      <c r="C303" s="17" t="n"/>
      <c r="D303" s="17" t="n"/>
      <c r="E303" s="17" t="n"/>
      <c r="F303" s="17" t="inlineStr">
        <is>
          <t>5.145 × 4.700 = 24.181  +11.798&lt;가산 - 산출근거서 No.28&gt;</t>
        </is>
      </c>
      <c r="G303" s="20" t="n">
        <v>35.98</v>
      </c>
    </row>
    <row r="304">
      <c r="A304" s="17" t="inlineStr">
        <is>
          <t>L</t>
        </is>
      </c>
      <c r="B304" s="17" t="inlineStr">
        <is>
          <t>(둘 레)</t>
        </is>
      </c>
      <c r="C304" s="17" t="n"/>
      <c r="D304" s="17" t="n"/>
      <c r="E304" s="17" t="n"/>
      <c r="F304" s="17" t="inlineStr">
        <is>
          <t>비정형 - 사각형 근사 생략</t>
        </is>
      </c>
      <c r="G304" s="21" t="n"/>
    </row>
    <row r="305">
      <c r="A305" s="17" t="inlineStr">
        <is>
          <t>B</t>
        </is>
      </c>
      <c r="B305" s="17" t="inlineStr">
        <is>
          <t>(걸레받이)</t>
        </is>
      </c>
      <c r="C305" s="17" t="n"/>
      <c r="D305" s="17" t="n"/>
      <c r="E305" s="17" t="n"/>
      <c r="F305" s="17" t="inlineStr">
        <is>
          <t>둘레 − 개구부(문·폴딩도어) - 산출근거서 No.28</t>
        </is>
      </c>
      <c r="G305" s="20" t="n">
        <v>15.3</v>
      </c>
    </row>
    <row r="306">
      <c r="A306" s="17" t="inlineStr">
        <is>
          <t>H</t>
        </is>
      </c>
      <c r="B306" s="17" t="inlineStr">
        <is>
          <t>(마감높이)</t>
        </is>
      </c>
      <c r="C306" s="17" t="n"/>
      <c r="D306" s="17" t="n"/>
      <c r="E306" s="17" t="n"/>
      <c r="F306" s="17" t="inlineStr">
        <is>
          <t>바닥 마감 범위 외</t>
        </is>
      </c>
      <c r="G306" s="17" t="n"/>
    </row>
    <row r="307">
      <c r="A307" s="22" t="n"/>
      <c r="B307" s="22" t="inlineStr">
        <is>
          <t>[산 출 범 위]</t>
        </is>
      </c>
      <c r="C307" s="22" t="n"/>
      <c r="D307" s="23" t="n"/>
      <c r="E307" s="23" t="n"/>
      <c r="F307" s="24" t="n"/>
      <c r="G307" s="22" t="n"/>
    </row>
    <row r="308" ht="25" customHeight="1">
      <c r="A308" s="17" t="n"/>
      <c r="B308" s="17" t="inlineStr">
        <is>
          <t>바닥</t>
        </is>
      </c>
      <c r="C308" s="17" t="inlineStr">
        <is>
          <t>타일카펫 깔기 [CT-03]</t>
        </is>
      </c>
      <c r="D308" s="17" t="inlineStr">
        <is>
          <t>타일카펫 610x610</t>
        </is>
      </c>
      <c r="E308" s="17" t="inlineStr">
        <is>
          <t>M2</t>
        </is>
      </c>
      <c r="F308" s="17" t="inlineStr">
        <is>
          <t>A&lt;면적&gt; − 0&lt;기둥 공제&gt;</t>
        </is>
      </c>
      <c r="G308" s="17">
        <f>G303-0</f>
        <v/>
      </c>
    </row>
    <row r="309" ht="25" customHeight="1">
      <c r="A309" s="17" t="n"/>
      <c r="B309" s="17" t="inlineStr">
        <is>
          <t>걸레받이</t>
        </is>
      </c>
      <c r="C309" s="17" t="inlineStr">
        <is>
          <t>걸레받이 설치</t>
        </is>
      </c>
      <c r="D309" s="17" t="inlineStr">
        <is>
          <t>MDF+인테리어필름 T=9, H=30</t>
        </is>
      </c>
      <c r="E309" s="17" t="inlineStr">
        <is>
          <t>M</t>
        </is>
      </c>
      <c r="F309" s="17" t="inlineStr">
        <is>
          <t>B&lt;걸레받이&gt;</t>
        </is>
      </c>
      <c r="G309" s="17">
        <f>G305</f>
        <v/>
      </c>
    </row>
    <row r="310" ht="25" customHeight="1">
      <c r="A310" s="22" t="n"/>
      <c r="B310" s="22" t="inlineStr">
        <is>
          <t>[ 끝 ]</t>
        </is>
      </c>
      <c r="C310" s="22" t="n"/>
      <c r="D310" s="22" t="n"/>
      <c r="E310" s="22" t="n"/>
      <c r="F310" s="22" t="n"/>
      <c r="G310" s="22" t="n"/>
    </row>
    <row r="312">
      <c r="A312" s="18" t="inlineStr">
        <is>
          <t>도형</t>
        </is>
      </c>
      <c r="B312" s="18" t="inlineStr">
        <is>
          <t>부위</t>
        </is>
      </c>
      <c r="C312" s="18" t="inlineStr">
        <is>
          <t>품명</t>
        </is>
      </c>
      <c r="D312" s="18" t="inlineStr">
        <is>
          <t>규격</t>
        </is>
      </c>
      <c r="E312" s="18" t="inlineStr">
        <is>
          <t>단위</t>
        </is>
      </c>
      <c r="F312" s="18" t="inlineStr">
        <is>
          <t>산식</t>
        </is>
      </c>
      <c r="G312" s="18" t="inlineStr">
        <is>
          <t>물량</t>
        </is>
      </c>
    </row>
    <row r="313">
      <c r="A313" s="12" t="inlineStr">
        <is>
          <t>실명 : 3F 창고</t>
        </is>
      </c>
      <c r="C313" s="12" t="inlineStr">
        <is>
          <t>개소 : 1</t>
        </is>
      </c>
      <c r="F313" s="19" t="inlineStr">
        <is>
          <t>신뢰도 mid</t>
        </is>
      </c>
    </row>
    <row r="314">
      <c r="A314" s="17" t="inlineStr">
        <is>
          <t>A</t>
        </is>
      </c>
      <c r="B314" s="17" t="inlineStr">
        <is>
          <t>(면 적)</t>
        </is>
      </c>
      <c r="C314" s="17" t="n"/>
      <c r="D314" s="17" t="n"/>
      <c r="E314" s="17" t="n"/>
      <c r="F314" s="17" t="inlineStr">
        <is>
          <t>2.180 × 4.230 = 9.221  -0.171&lt;공제 - 산출근거서 No.29&gt;</t>
        </is>
      </c>
      <c r="G314" s="20" t="n">
        <v>9.050000000000001</v>
      </c>
    </row>
    <row r="315">
      <c r="A315" s="17" t="inlineStr">
        <is>
          <t>L</t>
        </is>
      </c>
      <c r="B315" s="17" t="inlineStr">
        <is>
          <t>(둘 레)</t>
        </is>
      </c>
      <c r="C315" s="17" t="n"/>
      <c r="D315" s="17" t="n"/>
      <c r="E315" s="17" t="n"/>
      <c r="F315" s="17" t="inlineStr">
        <is>
          <t>비정형 - 사각형 근사 생략</t>
        </is>
      </c>
      <c r="G315" s="21" t="n"/>
    </row>
    <row r="316">
      <c r="A316" s="17" t="inlineStr">
        <is>
          <t>B</t>
        </is>
      </c>
      <c r="B316" s="17" t="inlineStr">
        <is>
          <t>(걸레받이)</t>
        </is>
      </c>
      <c r="C316" s="17" t="n"/>
      <c r="D316" s="17" t="n"/>
      <c r="E316" s="17" t="n"/>
      <c r="F316" s="17" t="inlineStr">
        <is>
          <t>둘레 − 개구부(문·폴딩도어) - 산출근거서 No.29</t>
        </is>
      </c>
      <c r="G316" s="20" t="n">
        <v>11.84</v>
      </c>
    </row>
    <row r="317">
      <c r="A317" s="17" t="inlineStr">
        <is>
          <t>H</t>
        </is>
      </c>
      <c r="B317" s="17" t="inlineStr">
        <is>
          <t>(마감높이)</t>
        </is>
      </c>
      <c r="C317" s="17" t="n"/>
      <c r="D317" s="17" t="n"/>
      <c r="E317" s="17" t="n"/>
      <c r="F317" s="17" t="inlineStr">
        <is>
          <t>바닥 마감 범위 외</t>
        </is>
      </c>
      <c r="G317" s="17" t="n"/>
    </row>
    <row r="318">
      <c r="A318" s="22" t="n"/>
      <c r="B318" s="22" t="inlineStr">
        <is>
          <t>[산 출 범 위]</t>
        </is>
      </c>
      <c r="C318" s="22" t="n"/>
      <c r="D318" s="23" t="n"/>
      <c r="E318" s="23" t="n"/>
      <c r="F318" s="24" t="n"/>
      <c r="G318" s="22" t="n"/>
    </row>
    <row r="319" ht="25" customHeight="1">
      <c r="A319" s="17" t="n"/>
      <c r="B319" s="17" t="inlineStr">
        <is>
          <t>바닥</t>
        </is>
      </c>
      <c r="C319" s="17" t="inlineStr">
        <is>
          <t>비닐타일 깔기 [DE-01]</t>
        </is>
      </c>
      <c r="D319" s="17" t="inlineStr">
        <is>
          <t>디럭스타일 THK3 (도면 범례 450x450)</t>
        </is>
      </c>
      <c r="E319" s="17" t="inlineStr">
        <is>
          <t>M2</t>
        </is>
      </c>
      <c r="F319" s="17" t="inlineStr">
        <is>
          <t>A&lt;면적&gt; − 0&lt;기둥 공제&gt;</t>
        </is>
      </c>
      <c r="G319" s="17">
        <f>G314-0</f>
        <v/>
      </c>
    </row>
    <row r="320" ht="25" customHeight="1">
      <c r="A320" s="17" t="n"/>
      <c r="B320" s="17" t="inlineStr">
        <is>
          <t>걸레받이</t>
        </is>
      </c>
      <c r="C320" s="17" t="inlineStr">
        <is>
          <t>걸레받이 설치</t>
        </is>
      </c>
      <c r="D320" s="17" t="inlineStr">
        <is>
          <t>MDF+인테리어필름 T=9, H=30</t>
        </is>
      </c>
      <c r="E320" s="17" t="inlineStr">
        <is>
          <t>M</t>
        </is>
      </c>
      <c r="F320" s="17" t="inlineStr">
        <is>
          <t>B&lt;걸레받이&gt;</t>
        </is>
      </c>
      <c r="G320" s="17">
        <f>G316</f>
        <v/>
      </c>
    </row>
    <row r="321" ht="25" customHeight="1">
      <c r="A321" s="22" t="n"/>
      <c r="B321" s="22" t="inlineStr">
        <is>
          <t>[ 끝 ]</t>
        </is>
      </c>
      <c r="C321" s="22" t="n"/>
      <c r="D321" s="22" t="n"/>
      <c r="E321" s="22" t="n"/>
      <c r="F321" s="22" t="n"/>
      <c r="G321" s="22" t="n"/>
    </row>
    <row r="323">
      <c r="A323" s="18" t="inlineStr">
        <is>
          <t>도형</t>
        </is>
      </c>
      <c r="B323" s="18" t="inlineStr">
        <is>
          <t>부위</t>
        </is>
      </c>
      <c r="C323" s="18" t="inlineStr">
        <is>
          <t>품명</t>
        </is>
      </c>
      <c r="D323" s="18" t="inlineStr">
        <is>
          <t>규격</t>
        </is>
      </c>
      <c r="E323" s="18" t="inlineStr">
        <is>
          <t>단위</t>
        </is>
      </c>
      <c r="F323" s="18" t="inlineStr">
        <is>
          <t>산식</t>
        </is>
      </c>
      <c r="G323" s="18" t="inlineStr">
        <is>
          <t>물량</t>
        </is>
      </c>
    </row>
    <row r="324">
      <c r="A324" s="12" t="inlineStr">
        <is>
          <t>실명 : 3F 비서</t>
        </is>
      </c>
      <c r="C324" s="12" t="inlineStr">
        <is>
          <t>개소 : 1</t>
        </is>
      </c>
      <c r="F324" s="19" t="inlineStr">
        <is>
          <t>신뢰도 mid</t>
        </is>
      </c>
    </row>
    <row r="325">
      <c r="A325" s="17" t="inlineStr">
        <is>
          <t>A</t>
        </is>
      </c>
      <c r="B325" s="17" t="inlineStr">
        <is>
          <t>(면 적)</t>
        </is>
      </c>
      <c r="C325" s="17" t="n"/>
      <c r="D325" s="17" t="n"/>
      <c r="E325" s="17" t="n"/>
      <c r="F325" s="17" t="inlineStr">
        <is>
          <t>4.440 × 2.295 = 10.190</t>
        </is>
      </c>
      <c r="G325" s="20" t="n">
        <v>10.19</v>
      </c>
    </row>
    <row r="326">
      <c r="A326" s="17" t="inlineStr">
        <is>
          <t>L</t>
        </is>
      </c>
      <c r="B326" s="17" t="inlineStr">
        <is>
          <t>(둘 레)</t>
        </is>
      </c>
      <c r="C326" s="17" t="n"/>
      <c r="D326" s="17" t="n"/>
      <c r="E326" s="17" t="n"/>
      <c r="F326" s="17" t="inlineStr">
        <is>
          <t>2 × (4.440 + 2.295)</t>
        </is>
      </c>
      <c r="G326" s="21">
        <f>ROUND(2*(4.44+2.295),3)</f>
        <v/>
      </c>
    </row>
    <row r="327">
      <c r="A327" s="17" t="inlineStr">
        <is>
          <t>B</t>
        </is>
      </c>
      <c r="B327" s="17" t="inlineStr">
        <is>
          <t>(걸레받이)</t>
        </is>
      </c>
      <c r="C327" s="17" t="n"/>
      <c r="D327" s="17" t="n"/>
      <c r="E327" s="17" t="n"/>
      <c r="F327" s="17" t="inlineStr">
        <is>
          <t>둘레 − 개구부(문·폴딩도어) - 산출근거서 No.30</t>
        </is>
      </c>
      <c r="G327" s="20" t="n">
        <v>10.8</v>
      </c>
    </row>
    <row r="328">
      <c r="A328" s="17" t="inlineStr">
        <is>
          <t>H</t>
        </is>
      </c>
      <c r="B328" s="17" t="inlineStr">
        <is>
          <t>(마감높이)</t>
        </is>
      </c>
      <c r="C328" s="17" t="n"/>
      <c r="D328" s="17" t="n"/>
      <c r="E328" s="17" t="n"/>
      <c r="F328" s="17" t="inlineStr">
        <is>
          <t>바닥 마감 범위 외</t>
        </is>
      </c>
      <c r="G328" s="17" t="n"/>
    </row>
    <row r="329">
      <c r="A329" s="22" t="n"/>
      <c r="B329" s="22" t="inlineStr">
        <is>
          <t>[산 출 범 위]</t>
        </is>
      </c>
      <c r="C329" s="22" t="n"/>
      <c r="D329" s="23" t="n"/>
      <c r="E329" s="23" t="n"/>
      <c r="F329" s="24" t="n"/>
      <c r="G329" s="22" t="n"/>
    </row>
    <row r="330" ht="25" customHeight="1">
      <c r="A330" s="17" t="n"/>
      <c r="B330" s="17" t="inlineStr">
        <is>
          <t>바닥</t>
        </is>
      </c>
      <c r="C330" s="17" t="inlineStr">
        <is>
          <t>비닐타일 깔기 [DT-01]</t>
        </is>
      </c>
      <c r="D330" s="17" t="inlineStr">
        <is>
          <t>데코타일 (MATERIAL LIST 600x600 T5)</t>
        </is>
      </c>
      <c r="E330" s="17" t="inlineStr">
        <is>
          <t>M2</t>
        </is>
      </c>
      <c r="F330" s="17" t="inlineStr">
        <is>
          <t>A&lt;면적&gt; − 0&lt;기둥 공제&gt;</t>
        </is>
      </c>
      <c r="G330" s="17">
        <f>G325-0</f>
        <v/>
      </c>
    </row>
    <row r="331" ht="25" customHeight="1">
      <c r="A331" s="17" t="n"/>
      <c r="B331" s="17" t="inlineStr">
        <is>
          <t>걸레받이</t>
        </is>
      </c>
      <c r="C331" s="17" t="inlineStr">
        <is>
          <t>걸레받이 설치</t>
        </is>
      </c>
      <c r="D331" s="17" t="inlineStr">
        <is>
          <t>MDF+인테리어필름 T=9, H=30</t>
        </is>
      </c>
      <c r="E331" s="17" t="inlineStr">
        <is>
          <t>M</t>
        </is>
      </c>
      <c r="F331" s="17" t="inlineStr">
        <is>
          <t>B&lt;걸레받이&gt;</t>
        </is>
      </c>
      <c r="G331" s="17">
        <f>G327</f>
        <v/>
      </c>
    </row>
    <row r="332" ht="25" customHeight="1">
      <c r="A332" s="22" t="n"/>
      <c r="B332" s="22" t="inlineStr">
        <is>
          <t>[ 끝 ]</t>
        </is>
      </c>
      <c r="C332" s="22" t="n"/>
      <c r="D332" s="22" t="n"/>
      <c r="E332" s="22" t="n"/>
      <c r="F332" s="22" t="n"/>
      <c r="G332" s="22" t="n"/>
    </row>
    <row r="334">
      <c r="A334" s="18" t="inlineStr">
        <is>
          <t>도형</t>
        </is>
      </c>
      <c r="B334" s="18" t="inlineStr">
        <is>
          <t>부위</t>
        </is>
      </c>
      <c r="C334" s="18" t="inlineStr">
        <is>
          <t>품명</t>
        </is>
      </c>
      <c r="D334" s="18" t="inlineStr">
        <is>
          <t>규격</t>
        </is>
      </c>
      <c r="E334" s="18" t="inlineStr">
        <is>
          <t>단위</t>
        </is>
      </c>
      <c r="F334" s="18" t="inlineStr">
        <is>
          <t>산식</t>
        </is>
      </c>
      <c r="G334" s="18" t="inlineStr">
        <is>
          <t>물량</t>
        </is>
      </c>
    </row>
    <row r="335">
      <c r="A335" s="12" t="inlineStr">
        <is>
          <t>실명 : 3F LOUNGE</t>
        </is>
      </c>
      <c r="C335" s="12" t="inlineStr">
        <is>
          <t>개소 : 1</t>
        </is>
      </c>
      <c r="F335" s="19" t="inlineStr">
        <is>
          <t>신뢰도 low</t>
        </is>
      </c>
    </row>
    <row r="336">
      <c r="A336" s="17" t="inlineStr">
        <is>
          <t>A</t>
        </is>
      </c>
      <c r="B336" s="17" t="inlineStr">
        <is>
          <t>(면 적)</t>
        </is>
      </c>
      <c r="C336" s="17" t="n"/>
      <c r="D336" s="17" t="n"/>
      <c r="E336" s="17" t="n"/>
      <c r="F336" s="17" t="inlineStr">
        <is>
          <t>5.740 × 9.250 = 53.095</t>
        </is>
      </c>
      <c r="G336" s="20" t="n">
        <v>53.09</v>
      </c>
    </row>
    <row r="337">
      <c r="A337" s="17" t="inlineStr">
        <is>
          <t>L</t>
        </is>
      </c>
      <c r="B337" s="17" t="inlineStr">
        <is>
          <t>(둘 레)</t>
        </is>
      </c>
      <c r="C337" s="17" t="n"/>
      <c r="D337" s="17" t="n"/>
      <c r="E337" s="17" t="n"/>
      <c r="F337" s="17" t="inlineStr">
        <is>
          <t>2 × (5.740 + 9.250)</t>
        </is>
      </c>
      <c r="G337" s="21">
        <f>ROUND(2*(5.74+9.25),3)</f>
        <v/>
      </c>
    </row>
    <row r="338">
      <c r="A338" s="17" t="inlineStr">
        <is>
          <t>B</t>
        </is>
      </c>
      <c r="B338" s="17" t="inlineStr">
        <is>
          <t>(걸레받이)</t>
        </is>
      </c>
      <c r="C338" s="17" t="n"/>
      <c r="D338" s="17" t="n"/>
      <c r="E338" s="17" t="n"/>
      <c r="F338" s="17" t="inlineStr">
        <is>
          <t>둘레 − 개구부(문·폴딩도어) - 산출근거서 No.31</t>
        </is>
      </c>
      <c r="G338" s="20" t="n">
        <v>16</v>
      </c>
    </row>
    <row r="339">
      <c r="A339" s="17" t="inlineStr">
        <is>
          <t>H</t>
        </is>
      </c>
      <c r="B339" s="17" t="inlineStr">
        <is>
          <t>(마감높이)</t>
        </is>
      </c>
      <c r="C339" s="17" t="n"/>
      <c r="D339" s="17" t="n"/>
      <c r="E339" s="17" t="n"/>
      <c r="F339" s="17" t="inlineStr">
        <is>
          <t>바닥 마감 범위 외</t>
        </is>
      </c>
      <c r="G339" s="17" t="n"/>
    </row>
    <row r="340">
      <c r="A340" s="22" t="n"/>
      <c r="B340" s="22" t="inlineStr">
        <is>
          <t>[산 출 범 위]</t>
        </is>
      </c>
      <c r="C340" s="22" t="n"/>
      <c r="D340" s="23" t="n"/>
      <c r="E340" s="23" t="n"/>
      <c r="F340" s="24" t="n"/>
      <c r="G340" s="22" t="n"/>
    </row>
    <row r="341" ht="25" customHeight="1">
      <c r="A341" s="17" t="n"/>
      <c r="B341" s="17" t="inlineStr">
        <is>
          <t>바닥</t>
        </is>
      </c>
      <c r="C341" s="17" t="inlineStr">
        <is>
          <t>비닐타일 깔기 [DT-02]</t>
        </is>
      </c>
      <c r="D341" s="17" t="inlineStr">
        <is>
          <t>데코타일 457x914</t>
        </is>
      </c>
      <c r="E341" s="17" t="inlineStr">
        <is>
          <t>M2</t>
        </is>
      </c>
      <c r="F341" s="17" t="inlineStr">
        <is>
          <t>A&lt;면적&gt; − 0&lt;기둥 공제&gt;</t>
        </is>
      </c>
      <c r="G341" s="17">
        <f>G336-0</f>
        <v/>
      </c>
    </row>
    <row r="342" ht="25" customHeight="1">
      <c r="A342" s="17" t="n"/>
      <c r="B342" s="17" t="inlineStr">
        <is>
          <t>걸레받이</t>
        </is>
      </c>
      <c r="C342" s="17" t="inlineStr">
        <is>
          <t>걸레받이 설치</t>
        </is>
      </c>
      <c r="D342" s="17" t="inlineStr">
        <is>
          <t>MDF+인테리어필름 T=9, H=30</t>
        </is>
      </c>
      <c r="E342" s="17" t="inlineStr">
        <is>
          <t>M</t>
        </is>
      </c>
      <c r="F342" s="17" t="inlineStr">
        <is>
          <t>B&lt;걸레받이&gt;</t>
        </is>
      </c>
      <c r="G342" s="17">
        <f>G338</f>
        <v/>
      </c>
    </row>
    <row r="343" ht="25" customHeight="1">
      <c r="A343" s="22" t="n"/>
      <c r="B343" s="22" t="inlineStr">
        <is>
          <t>[ 끝 ]</t>
        </is>
      </c>
      <c r="C343" s="22" t="n"/>
      <c r="D343" s="22" t="n"/>
      <c r="E343" s="22" t="n"/>
      <c r="F343" s="22" t="n"/>
      <c r="G343" s="22" t="n"/>
    </row>
    <row r="345">
      <c r="A345" s="18" t="inlineStr">
        <is>
          <t>도형</t>
        </is>
      </c>
      <c r="B345" s="18" t="inlineStr">
        <is>
          <t>부위</t>
        </is>
      </c>
      <c r="C345" s="18" t="inlineStr">
        <is>
          <t>품명</t>
        </is>
      </c>
      <c r="D345" s="18" t="inlineStr">
        <is>
          <t>규격</t>
        </is>
      </c>
      <c r="E345" s="18" t="inlineStr">
        <is>
          <t>단위</t>
        </is>
      </c>
      <c r="F345" s="18" t="inlineStr">
        <is>
          <t>산식</t>
        </is>
      </c>
      <c r="G345" s="18" t="inlineStr">
        <is>
          <t>물량</t>
        </is>
      </c>
    </row>
    <row r="346">
      <c r="A346" s="12" t="inlineStr">
        <is>
          <t>실명 : 3F CORRIDOR 남측</t>
        </is>
      </c>
      <c r="C346" s="12" t="inlineStr">
        <is>
          <t>개소 : 1</t>
        </is>
      </c>
      <c r="F346" s="19" t="inlineStr">
        <is>
          <t>신뢰도 low</t>
        </is>
      </c>
    </row>
    <row r="347">
      <c r="A347" s="17" t="inlineStr">
        <is>
          <t>A</t>
        </is>
      </c>
      <c r="B347" s="17" t="inlineStr">
        <is>
          <t>(면 적)</t>
        </is>
      </c>
      <c r="C347" s="17" t="n"/>
      <c r="D347" s="17" t="n"/>
      <c r="E347" s="17" t="n"/>
      <c r="F347" s="17" t="inlineStr">
        <is>
          <t>17.080 × 2.000 = 34.160</t>
        </is>
      </c>
      <c r="G347" s="20" t="n">
        <v>34.16</v>
      </c>
    </row>
    <row r="348">
      <c r="A348" s="17" t="inlineStr">
        <is>
          <t>L</t>
        </is>
      </c>
      <c r="B348" s="17" t="inlineStr">
        <is>
          <t>(둘 레)</t>
        </is>
      </c>
      <c r="C348" s="17" t="n"/>
      <c r="D348" s="17" t="n"/>
      <c r="E348" s="17" t="n"/>
      <c r="F348" s="17" t="inlineStr">
        <is>
          <t>2 × (17.080 + 2.000)</t>
        </is>
      </c>
      <c r="G348" s="21">
        <f>ROUND(2*(17.08+2.0),3)</f>
        <v/>
      </c>
    </row>
    <row r="349">
      <c r="A349" s="17" t="inlineStr">
        <is>
          <t>B</t>
        </is>
      </c>
      <c r="B349" s="17" t="inlineStr">
        <is>
          <t>(걸레받이)</t>
        </is>
      </c>
      <c r="C349" s="17" t="n"/>
      <c r="D349" s="17" t="n"/>
      <c r="E349" s="17" t="n"/>
      <c r="F349" s="17" t="inlineStr">
        <is>
          <t>둘레 − 개구부(문·폴딩도어) - 산출근거서 No.32</t>
        </is>
      </c>
      <c r="G349" s="20" t="n">
        <v>10.2</v>
      </c>
    </row>
    <row r="350">
      <c r="A350" s="17" t="inlineStr">
        <is>
          <t>H</t>
        </is>
      </c>
      <c r="B350" s="17" t="inlineStr">
        <is>
          <t>(마감높이)</t>
        </is>
      </c>
      <c r="C350" s="17" t="n"/>
      <c r="D350" s="17" t="n"/>
      <c r="E350" s="17" t="n"/>
      <c r="F350" s="17" t="inlineStr">
        <is>
          <t>바닥 마감 범위 외</t>
        </is>
      </c>
      <c r="G350" s="17" t="n"/>
    </row>
    <row r="351">
      <c r="A351" s="22" t="n"/>
      <c r="B351" s="22" t="inlineStr">
        <is>
          <t>[산 출 범 위]</t>
        </is>
      </c>
      <c r="C351" s="22" t="n"/>
      <c r="D351" s="23" t="n"/>
      <c r="E351" s="23" t="n"/>
      <c r="F351" s="24" t="n"/>
      <c r="G351" s="22" t="n"/>
    </row>
    <row r="352" ht="25" customHeight="1">
      <c r="A352" s="17" t="n"/>
      <c r="B352" s="17" t="inlineStr">
        <is>
          <t>바닥</t>
        </is>
      </c>
      <c r="C352" s="17" t="inlineStr">
        <is>
          <t>비닐타일 깔기 [DT-02]</t>
        </is>
      </c>
      <c r="D352" s="17" t="inlineStr">
        <is>
          <t>데코타일 457x914</t>
        </is>
      </c>
      <c r="E352" s="17" t="inlineStr">
        <is>
          <t>M2</t>
        </is>
      </c>
      <c r="F352" s="17" t="inlineStr">
        <is>
          <t>A&lt;면적&gt; − 0&lt;기둥 공제&gt;</t>
        </is>
      </c>
      <c r="G352" s="17">
        <f>G347-0</f>
        <v/>
      </c>
    </row>
    <row r="353" ht="25" customHeight="1">
      <c r="A353" s="17" t="n"/>
      <c r="B353" s="17" t="inlineStr">
        <is>
          <t>걸레받이</t>
        </is>
      </c>
      <c r="C353" s="17" t="inlineStr">
        <is>
          <t>걸레받이 설치</t>
        </is>
      </c>
      <c r="D353" s="17" t="inlineStr">
        <is>
          <t>MDF+인테리어필름 T=9, H=30</t>
        </is>
      </c>
      <c r="E353" s="17" t="inlineStr">
        <is>
          <t>M</t>
        </is>
      </c>
      <c r="F353" s="17" t="inlineStr">
        <is>
          <t>B&lt;걸레받이&gt;</t>
        </is>
      </c>
      <c r="G353" s="17">
        <f>G349</f>
        <v/>
      </c>
    </row>
    <row r="354" ht="25" customHeight="1">
      <c r="A354" s="22" t="n"/>
      <c r="B354" s="22" t="inlineStr">
        <is>
          <t>[ 끝 ]</t>
        </is>
      </c>
      <c r="C354" s="22" t="n"/>
      <c r="D354" s="22" t="n"/>
      <c r="E354" s="22" t="n"/>
      <c r="F354" s="22" t="n"/>
      <c r="G354" s="22" t="n"/>
    </row>
    <row r="356">
      <c r="A356" s="18" t="inlineStr">
        <is>
          <t>도형</t>
        </is>
      </c>
      <c r="B356" s="18" t="inlineStr">
        <is>
          <t>부위</t>
        </is>
      </c>
      <c r="C356" s="18" t="inlineStr">
        <is>
          <t>품명</t>
        </is>
      </c>
      <c r="D356" s="18" t="inlineStr">
        <is>
          <t>규격</t>
        </is>
      </c>
      <c r="E356" s="18" t="inlineStr">
        <is>
          <t>단위</t>
        </is>
      </c>
      <c r="F356" s="18" t="inlineStr">
        <is>
          <t>산식</t>
        </is>
      </c>
      <c r="G356" s="18" t="inlineStr">
        <is>
          <t>물량</t>
        </is>
      </c>
    </row>
    <row r="357">
      <c r="A357" s="12" t="inlineStr">
        <is>
          <t>실명 : 3F CORRIDOR 동측</t>
        </is>
      </c>
      <c r="C357" s="12" t="inlineStr">
        <is>
          <t>개소 : 1</t>
        </is>
      </c>
      <c r="F357" s="19" t="inlineStr">
        <is>
          <t>신뢰도 mid</t>
        </is>
      </c>
    </row>
    <row r="358">
      <c r="A358" s="17" t="inlineStr">
        <is>
          <t>A</t>
        </is>
      </c>
      <c r="B358" s="17" t="inlineStr">
        <is>
          <t>(면 적)</t>
        </is>
      </c>
      <c r="C358" s="17" t="n"/>
      <c r="D358" s="17" t="n"/>
      <c r="E358" s="17" t="n"/>
      <c r="F358" s="17" t="inlineStr">
        <is>
          <t>2.000 × 7.230 = 14.460</t>
        </is>
      </c>
      <c r="G358" s="20" t="n">
        <v>14.46</v>
      </c>
    </row>
    <row r="359">
      <c r="A359" s="17" t="inlineStr">
        <is>
          <t>L</t>
        </is>
      </c>
      <c r="B359" s="17" t="inlineStr">
        <is>
          <t>(둘 레)</t>
        </is>
      </c>
      <c r="C359" s="17" t="n"/>
      <c r="D359" s="17" t="n"/>
      <c r="E359" s="17" t="n"/>
      <c r="F359" s="17" t="inlineStr">
        <is>
          <t>2 × (2.000 + 7.230)</t>
        </is>
      </c>
      <c r="G359" s="21">
        <f>ROUND(2*(2.0+7.23),3)</f>
        <v/>
      </c>
    </row>
    <row r="360">
      <c r="A360" s="17" t="inlineStr">
        <is>
          <t>B</t>
        </is>
      </c>
      <c r="B360" s="17" t="inlineStr">
        <is>
          <t>(걸레받이)</t>
        </is>
      </c>
      <c r="C360" s="17" t="n"/>
      <c r="D360" s="17" t="n"/>
      <c r="E360" s="17" t="n"/>
      <c r="F360" s="17" t="inlineStr">
        <is>
          <t>둘레 − 개구부(문·폴딩도어) - 산출근거서 No.33</t>
        </is>
      </c>
      <c r="G360" s="20" t="n">
        <v>8.9</v>
      </c>
    </row>
    <row r="361">
      <c r="A361" s="17" t="inlineStr">
        <is>
          <t>H</t>
        </is>
      </c>
      <c r="B361" s="17" t="inlineStr">
        <is>
          <t>(마감높이)</t>
        </is>
      </c>
      <c r="C361" s="17" t="n"/>
      <c r="D361" s="17" t="n"/>
      <c r="E361" s="17" t="n"/>
      <c r="F361" s="17" t="inlineStr">
        <is>
          <t>바닥 마감 범위 외</t>
        </is>
      </c>
      <c r="G361" s="17" t="n"/>
    </row>
    <row r="362">
      <c r="A362" s="22" t="n"/>
      <c r="B362" s="22" t="inlineStr">
        <is>
          <t>[산 출 범 위]</t>
        </is>
      </c>
      <c r="C362" s="22" t="n"/>
      <c r="D362" s="23" t="n"/>
      <c r="E362" s="23" t="n"/>
      <c r="F362" s="24" t="n"/>
      <c r="G362" s="22" t="n"/>
    </row>
    <row r="363" ht="25" customHeight="1">
      <c r="A363" s="17" t="n"/>
      <c r="B363" s="17" t="inlineStr">
        <is>
          <t>바닥</t>
        </is>
      </c>
      <c r="C363" s="17" t="inlineStr">
        <is>
          <t>비닐타일 깔기 [DT-02]</t>
        </is>
      </c>
      <c r="D363" s="17" t="inlineStr">
        <is>
          <t>데코타일 457x914</t>
        </is>
      </c>
      <c r="E363" s="17" t="inlineStr">
        <is>
          <t>M2</t>
        </is>
      </c>
      <c r="F363" s="17" t="inlineStr">
        <is>
          <t>A&lt;면적&gt; − 0&lt;기둥 공제&gt;</t>
        </is>
      </c>
      <c r="G363" s="17">
        <f>G358-0</f>
        <v/>
      </c>
    </row>
    <row r="364" ht="25" customHeight="1">
      <c r="A364" s="17" t="n"/>
      <c r="B364" s="17" t="inlineStr">
        <is>
          <t>걸레받이</t>
        </is>
      </c>
      <c r="C364" s="17" t="inlineStr">
        <is>
          <t>걸레받이 설치</t>
        </is>
      </c>
      <c r="D364" s="17" t="inlineStr">
        <is>
          <t>MDF+인테리어필름 T=9, H=30</t>
        </is>
      </c>
      <c r="E364" s="17" t="inlineStr">
        <is>
          <t>M</t>
        </is>
      </c>
      <c r="F364" s="17" t="inlineStr">
        <is>
          <t>B&lt;걸레받이&gt;</t>
        </is>
      </c>
      <c r="G364" s="17">
        <f>G360</f>
        <v/>
      </c>
    </row>
    <row r="365" ht="25" customHeight="1">
      <c r="A365" s="22" t="n"/>
      <c r="B365" s="22" t="inlineStr">
        <is>
          <t>[ 끝 ]</t>
        </is>
      </c>
      <c r="C365" s="22" t="n"/>
      <c r="D365" s="22" t="n"/>
      <c r="E365" s="22" t="n"/>
      <c r="F365" s="22" t="n"/>
      <c r="G365" s="22" t="n"/>
    </row>
    <row r="367">
      <c r="A367" s="18" t="inlineStr">
        <is>
          <t>도형</t>
        </is>
      </c>
      <c r="B367" s="18" t="inlineStr">
        <is>
          <t>부위</t>
        </is>
      </c>
      <c r="C367" s="18" t="inlineStr">
        <is>
          <t>품명</t>
        </is>
      </c>
      <c r="D367" s="18" t="inlineStr">
        <is>
          <t>규격</t>
        </is>
      </c>
      <c r="E367" s="18" t="inlineStr">
        <is>
          <t>단위</t>
        </is>
      </c>
      <c r="F367" s="18" t="inlineStr">
        <is>
          <t>산식</t>
        </is>
      </c>
      <c r="G367" s="18" t="inlineStr">
        <is>
          <t>물량</t>
        </is>
      </c>
    </row>
    <row r="368">
      <c r="A368" s="12" t="inlineStr">
        <is>
          <t>실명 : 3F CORRIDOR 북측</t>
        </is>
      </c>
      <c r="C368" s="12" t="inlineStr">
        <is>
          <t>개소 : 1</t>
        </is>
      </c>
      <c r="F368" s="19" t="inlineStr">
        <is>
          <t>신뢰도 mid</t>
        </is>
      </c>
    </row>
    <row r="369">
      <c r="A369" s="17" t="inlineStr">
        <is>
          <t>A</t>
        </is>
      </c>
      <c r="B369" s="17" t="inlineStr">
        <is>
          <t>(면 적)</t>
        </is>
      </c>
      <c r="C369" s="17" t="n"/>
      <c r="D369" s="17" t="n"/>
      <c r="E369" s="17" t="n"/>
      <c r="F369" s="17" t="inlineStr">
        <is>
          <t>3.680 × 1.815 = 6.679</t>
        </is>
      </c>
      <c r="G369" s="20" t="n">
        <v>6.68</v>
      </c>
    </row>
    <row r="370">
      <c r="A370" s="17" t="inlineStr">
        <is>
          <t>L</t>
        </is>
      </c>
      <c r="B370" s="17" t="inlineStr">
        <is>
          <t>(둘 레)</t>
        </is>
      </c>
      <c r="C370" s="17" t="n"/>
      <c r="D370" s="17" t="n"/>
      <c r="E370" s="17" t="n"/>
      <c r="F370" s="17" t="inlineStr">
        <is>
          <t>2 × (3.680 + 1.815)</t>
        </is>
      </c>
      <c r="G370" s="21">
        <f>ROUND(2*(3.68+1.815),3)</f>
        <v/>
      </c>
    </row>
    <row r="371">
      <c r="A371" s="17" t="inlineStr">
        <is>
          <t>B</t>
        </is>
      </c>
      <c r="B371" s="17" t="inlineStr">
        <is>
          <t>(걸레받이)</t>
        </is>
      </c>
      <c r="C371" s="17" t="n"/>
      <c r="D371" s="17" t="n"/>
      <c r="E371" s="17" t="n"/>
      <c r="F371" s="17" t="inlineStr">
        <is>
          <t>둘레 − 개구부(문·폴딩도어) - 산출근거서 No.34</t>
        </is>
      </c>
      <c r="G371" s="20" t="n">
        <v>3</v>
      </c>
    </row>
    <row r="372">
      <c r="A372" s="17" t="inlineStr">
        <is>
          <t>H</t>
        </is>
      </c>
      <c r="B372" s="17" t="inlineStr">
        <is>
          <t>(마감높이)</t>
        </is>
      </c>
      <c r="C372" s="17" t="n"/>
      <c r="D372" s="17" t="n"/>
      <c r="E372" s="17" t="n"/>
      <c r="F372" s="17" t="inlineStr">
        <is>
          <t>바닥 마감 범위 외</t>
        </is>
      </c>
      <c r="G372" s="17" t="n"/>
    </row>
    <row r="373">
      <c r="A373" s="22" t="n"/>
      <c r="B373" s="22" t="inlineStr">
        <is>
          <t>[산 출 범 위]</t>
        </is>
      </c>
      <c r="C373" s="22" t="n"/>
      <c r="D373" s="23" t="n"/>
      <c r="E373" s="23" t="n"/>
      <c r="F373" s="24" t="n"/>
      <c r="G373" s="22" t="n"/>
    </row>
    <row r="374" ht="25" customHeight="1">
      <c r="A374" s="17" t="n"/>
      <c r="B374" s="17" t="inlineStr">
        <is>
          <t>바닥</t>
        </is>
      </c>
      <c r="C374" s="17" t="inlineStr">
        <is>
          <t>비닐타일 깔기 [DT-02]</t>
        </is>
      </c>
      <c r="D374" s="17" t="inlineStr">
        <is>
          <t>데코타일 457x914</t>
        </is>
      </c>
      <c r="E374" s="17" t="inlineStr">
        <is>
          <t>M2</t>
        </is>
      </c>
      <c r="F374" s="17" t="inlineStr">
        <is>
          <t>A&lt;면적&gt; − 0&lt;기둥 공제&gt;</t>
        </is>
      </c>
      <c r="G374" s="17">
        <f>G369-0</f>
        <v/>
      </c>
    </row>
    <row r="375" ht="25" customHeight="1">
      <c r="A375" s="17" t="n"/>
      <c r="B375" s="17" t="inlineStr">
        <is>
          <t>걸레받이</t>
        </is>
      </c>
      <c r="C375" s="17" t="inlineStr">
        <is>
          <t>걸레받이 설치</t>
        </is>
      </c>
      <c r="D375" s="17" t="inlineStr">
        <is>
          <t>MDF+인테리어필름 T=9, H=30</t>
        </is>
      </c>
      <c r="E375" s="17" t="inlineStr">
        <is>
          <t>M</t>
        </is>
      </c>
      <c r="F375" s="17" t="inlineStr">
        <is>
          <t>B&lt;걸레받이&gt;</t>
        </is>
      </c>
      <c r="G375" s="17">
        <f>G371</f>
        <v/>
      </c>
    </row>
    <row r="376" ht="25" customHeight="1">
      <c r="A376" s="22" t="n"/>
      <c r="B376" s="22" t="inlineStr">
        <is>
          <t>[ 끝 ]</t>
        </is>
      </c>
      <c r="C376" s="22" t="n"/>
      <c r="D376" s="22" t="n"/>
      <c r="E376" s="22" t="n"/>
      <c r="F376" s="22" t="n"/>
      <c r="G376" s="22" t="n"/>
    </row>
    <row r="378">
      <c r="A378" s="18" t="inlineStr">
        <is>
          <t>도형</t>
        </is>
      </c>
      <c r="B378" s="18" t="inlineStr">
        <is>
          <t>부위</t>
        </is>
      </c>
      <c r="C378" s="18" t="inlineStr">
        <is>
          <t>품명</t>
        </is>
      </c>
      <c r="D378" s="18" t="inlineStr">
        <is>
          <t>규격</t>
        </is>
      </c>
      <c r="E378" s="18" t="inlineStr">
        <is>
          <t>단위</t>
        </is>
      </c>
      <c r="F378" s="18" t="inlineStr">
        <is>
          <t>산식</t>
        </is>
      </c>
      <c r="G378" s="18" t="inlineStr">
        <is>
          <t>물량</t>
        </is>
      </c>
    </row>
    <row r="379">
      <c r="A379" s="12" t="inlineStr">
        <is>
          <t>실명 : 3F ELE'V HALL</t>
        </is>
      </c>
      <c r="C379" s="12" t="inlineStr">
        <is>
          <t>개소 : 1</t>
        </is>
      </c>
      <c r="F379" s="19" t="inlineStr">
        <is>
          <t>신뢰도 low</t>
        </is>
      </c>
    </row>
    <row r="380">
      <c r="A380" s="17" t="inlineStr">
        <is>
          <t>A</t>
        </is>
      </c>
      <c r="B380" s="17" t="inlineStr">
        <is>
          <t>(면 적)</t>
        </is>
      </c>
      <c r="C380" s="17" t="n"/>
      <c r="D380" s="17" t="n"/>
      <c r="E380" s="17" t="n"/>
      <c r="F380" s="17" t="inlineStr">
        <is>
          <t>16.360&lt;열린 공간 구분구적 - 산출근거서 No.35&gt;</t>
        </is>
      </c>
      <c r="G380" s="20" t="n">
        <v>16.36</v>
      </c>
    </row>
    <row r="381">
      <c r="A381" s="17" t="inlineStr">
        <is>
          <t>L</t>
        </is>
      </c>
      <c r="B381" s="17" t="inlineStr">
        <is>
          <t>(둘 레)</t>
        </is>
      </c>
      <c r="C381" s="17" t="n"/>
      <c r="D381" s="17" t="n"/>
      <c r="E381" s="17" t="n"/>
      <c r="F381" s="17" t="inlineStr">
        <is>
          <t>비정형 - 사각형 근사 생략</t>
        </is>
      </c>
      <c r="G381" s="21" t="n"/>
    </row>
    <row r="382">
      <c r="A382" s="17" t="inlineStr">
        <is>
          <t>B</t>
        </is>
      </c>
      <c r="B382" s="17" t="inlineStr">
        <is>
          <t>(걸레받이)</t>
        </is>
      </c>
      <c r="C382" s="17" t="n"/>
      <c r="D382" s="17" t="n"/>
      <c r="E382" s="17" t="n"/>
      <c r="F382" s="17" t="inlineStr">
        <is>
          <t>둘레 − 개구부(문·폴딩도어) - 산출근거서 No.35</t>
        </is>
      </c>
      <c r="G382" s="20" t="n">
        <v>13.7</v>
      </c>
    </row>
    <row r="383">
      <c r="A383" s="17" t="inlineStr">
        <is>
          <t>H</t>
        </is>
      </c>
      <c r="B383" s="17" t="inlineStr">
        <is>
          <t>(마감높이)</t>
        </is>
      </c>
      <c r="C383" s="17" t="n"/>
      <c r="D383" s="17" t="n"/>
      <c r="E383" s="17" t="n"/>
      <c r="F383" s="17" t="inlineStr">
        <is>
          <t>바닥 마감 범위 외</t>
        </is>
      </c>
      <c r="G383" s="17" t="n"/>
    </row>
    <row r="384">
      <c r="A384" s="22" t="n"/>
      <c r="B384" s="22" t="inlineStr">
        <is>
          <t>[산 출 범 위]</t>
        </is>
      </c>
      <c r="C384" s="22" t="n"/>
      <c r="D384" s="23" t="n"/>
      <c r="E384" s="23" t="n"/>
      <c r="F384" s="24" t="n"/>
      <c r="G384" s="22" t="n"/>
    </row>
    <row r="385" ht="25" customHeight="1">
      <c r="A385" s="17" t="n"/>
      <c r="B385" s="17" t="inlineStr">
        <is>
          <t>바닥</t>
        </is>
      </c>
      <c r="C385" s="17" t="inlineStr">
        <is>
          <t>비닐타일 깔기 [DT-02]</t>
        </is>
      </c>
      <c r="D385" s="17" t="inlineStr">
        <is>
          <t>데코타일 457x914</t>
        </is>
      </c>
      <c r="E385" s="17" t="inlineStr">
        <is>
          <t>M2</t>
        </is>
      </c>
      <c r="F385" s="17" t="inlineStr">
        <is>
          <t>A&lt;면적&gt; − 0&lt;기둥 공제&gt;</t>
        </is>
      </c>
      <c r="G385" s="17">
        <f>G380-0</f>
        <v/>
      </c>
    </row>
    <row r="386" ht="25" customHeight="1">
      <c r="A386" s="17" t="n"/>
      <c r="B386" s="17" t="inlineStr">
        <is>
          <t>걸레받이</t>
        </is>
      </c>
      <c r="C386" s="17" t="inlineStr">
        <is>
          <t>걸레받이 설치</t>
        </is>
      </c>
      <c r="D386" s="17" t="inlineStr">
        <is>
          <t>MDF+인테리어필름 T=9, H=30</t>
        </is>
      </c>
      <c r="E386" s="17" t="inlineStr">
        <is>
          <t>M</t>
        </is>
      </c>
      <c r="F386" s="17" t="inlineStr">
        <is>
          <t>B&lt;걸레받이&gt;</t>
        </is>
      </c>
      <c r="G386" s="17">
        <f>G382</f>
        <v/>
      </c>
    </row>
    <row r="387" ht="25" customHeight="1">
      <c r="A387" s="22" t="n"/>
      <c r="B387" s="22" t="inlineStr">
        <is>
          <t>[ 끝 ]</t>
        </is>
      </c>
      <c r="C387" s="22" t="n"/>
      <c r="D387" s="22" t="n"/>
      <c r="E387" s="22" t="n"/>
      <c r="F387" s="22" t="n"/>
      <c r="G387" s="22" t="n"/>
    </row>
    <row r="389">
      <c r="A389" s="18" t="inlineStr">
        <is>
          <t>도형</t>
        </is>
      </c>
      <c r="B389" s="18" t="inlineStr">
        <is>
          <t>부위</t>
        </is>
      </c>
      <c r="C389" s="18" t="inlineStr">
        <is>
          <t>품명</t>
        </is>
      </c>
      <c r="D389" s="18" t="inlineStr">
        <is>
          <t>규격</t>
        </is>
      </c>
      <c r="E389" s="18" t="inlineStr">
        <is>
          <t>단위</t>
        </is>
      </c>
      <c r="F389" s="18" t="inlineStr">
        <is>
          <t>산식</t>
        </is>
      </c>
      <c r="G389" s="18" t="inlineStr">
        <is>
          <t>물량</t>
        </is>
      </c>
    </row>
    <row r="390">
      <c r="A390" s="12" t="inlineStr">
        <is>
          <t>실명 : 3F OFFICE (동측 공보/총무/입법/법제/공제)</t>
        </is>
      </c>
      <c r="C390" s="12" t="inlineStr">
        <is>
          <t>개소 : 1</t>
        </is>
      </c>
      <c r="F390" s="19" t="inlineStr">
        <is>
          <t>신뢰도 low</t>
        </is>
      </c>
    </row>
    <row r="391">
      <c r="A391" s="17" t="inlineStr">
        <is>
          <t>A</t>
        </is>
      </c>
      <c r="B391" s="17" t="inlineStr">
        <is>
          <t>(면 적)</t>
        </is>
      </c>
      <c r="C391" s="17" t="n"/>
      <c r="D391" s="17" t="n"/>
      <c r="E391" s="17" t="n"/>
      <c r="F391" s="17" t="inlineStr">
        <is>
          <t>129.050&lt;열린 공간 구분구적 - 산출근거서 No.36&gt;</t>
        </is>
      </c>
      <c r="G391" s="20" t="n">
        <v>129.05</v>
      </c>
    </row>
    <row r="392">
      <c r="A392" s="17" t="inlineStr">
        <is>
          <t>L</t>
        </is>
      </c>
      <c r="B392" s="17" t="inlineStr">
        <is>
          <t>(둘 레)</t>
        </is>
      </c>
      <c r="C392" s="17" t="n"/>
      <c r="D392" s="17" t="n"/>
      <c r="E392" s="17" t="n"/>
      <c r="F392" s="17" t="inlineStr">
        <is>
          <t>비정형 - 사각형 근사 생략</t>
        </is>
      </c>
      <c r="G392" s="21" t="n"/>
    </row>
    <row r="393">
      <c r="A393" s="17" t="inlineStr">
        <is>
          <t>B</t>
        </is>
      </c>
      <c r="B393" s="17" t="inlineStr">
        <is>
          <t>(걸레받이)</t>
        </is>
      </c>
      <c r="C393" s="17" t="n"/>
      <c r="D393" s="17" t="n"/>
      <c r="E393" s="17" t="n"/>
      <c r="F393" s="17" t="inlineStr">
        <is>
          <t>둘레 − 개구부(문·폴딩도어) - 산출근거서 No.36</t>
        </is>
      </c>
      <c r="G393" s="20" t="n">
        <v>18.3</v>
      </c>
    </row>
    <row r="394">
      <c r="A394" s="17" t="inlineStr">
        <is>
          <t>H</t>
        </is>
      </c>
      <c r="B394" s="17" t="inlineStr">
        <is>
          <t>(마감높이)</t>
        </is>
      </c>
      <c r="C394" s="17" t="n"/>
      <c r="D394" s="17" t="n"/>
      <c r="E394" s="17" t="n"/>
      <c r="F394" s="17" t="inlineStr">
        <is>
          <t>바닥 마감 범위 외</t>
        </is>
      </c>
      <c r="G394" s="17" t="n"/>
    </row>
    <row r="395">
      <c r="A395" s="22" t="n"/>
      <c r="B395" s="22" t="inlineStr">
        <is>
          <t>[산 출 범 위]</t>
        </is>
      </c>
      <c r="C395" s="22" t="n"/>
      <c r="D395" s="23" t="n"/>
      <c r="E395" s="23" t="n"/>
      <c r="F395" s="24" t="n"/>
      <c r="G395" s="22" t="n"/>
    </row>
    <row r="396" ht="25" customHeight="1">
      <c r="A396" s="17" t="n"/>
      <c r="B396" s="17" t="inlineStr">
        <is>
          <t>바닥</t>
        </is>
      </c>
      <c r="C396" s="17" t="inlineStr">
        <is>
          <t>비닐타일 깔기 [DT-03]</t>
        </is>
      </c>
      <c r="D396" s="17" t="inlineStr">
        <is>
          <t>데코타일 457x914</t>
        </is>
      </c>
      <c r="E396" s="17" t="inlineStr">
        <is>
          <t>M2</t>
        </is>
      </c>
      <c r="F396" s="17" t="inlineStr">
        <is>
          <t>A&lt;면적&gt; − 0&lt;기둥 공제&gt;</t>
        </is>
      </c>
      <c r="G396" s="17">
        <f>G391-0</f>
        <v/>
      </c>
    </row>
    <row r="397" ht="25" customHeight="1">
      <c r="A397" s="17" t="n"/>
      <c r="B397" s="17" t="inlineStr">
        <is>
          <t>걸레받이</t>
        </is>
      </c>
      <c r="C397" s="17" t="inlineStr">
        <is>
          <t>걸레받이 설치</t>
        </is>
      </c>
      <c r="D397" s="17" t="inlineStr">
        <is>
          <t>MDF+인테리어필름 T=9, H=30</t>
        </is>
      </c>
      <c r="E397" s="17" t="inlineStr">
        <is>
          <t>M</t>
        </is>
      </c>
      <c r="F397" s="17" t="inlineStr">
        <is>
          <t>B&lt;걸레받이&gt;</t>
        </is>
      </c>
      <c r="G397" s="17">
        <f>G393</f>
        <v/>
      </c>
    </row>
    <row r="398" ht="25" customHeight="1">
      <c r="A398" s="22" t="n"/>
      <c r="B398" s="22" t="inlineStr">
        <is>
          <t>[ 끝 ]</t>
        </is>
      </c>
      <c r="C398" s="22" t="n"/>
      <c r="D398" s="22" t="n"/>
      <c r="E398" s="22" t="n"/>
      <c r="F398" s="22" t="n"/>
      <c r="G398" s="22" t="n"/>
    </row>
  </sheetData>
  <mergeCells count="36">
    <mergeCell ref="C241:F241"/>
    <mergeCell ref="C219:F219"/>
    <mergeCell ref="C153:F153"/>
    <mergeCell ref="C395:F395"/>
    <mergeCell ref="C296:F296"/>
    <mergeCell ref="C362:F362"/>
    <mergeCell ref="C32:F32"/>
    <mergeCell ref="C208:F208"/>
    <mergeCell ref="C186:F186"/>
    <mergeCell ref="C131:F131"/>
    <mergeCell ref="C351:F351"/>
    <mergeCell ref="C307:F307"/>
    <mergeCell ref="C87:F87"/>
    <mergeCell ref="C285:F285"/>
    <mergeCell ref="C263:F263"/>
    <mergeCell ref="C175:F175"/>
    <mergeCell ref="C340:F340"/>
    <mergeCell ref="C98:F98"/>
    <mergeCell ref="C197:F197"/>
    <mergeCell ref="C318:F318"/>
    <mergeCell ref="C54:F54"/>
    <mergeCell ref="C274:F274"/>
    <mergeCell ref="C384:F384"/>
    <mergeCell ref="C65:F65"/>
    <mergeCell ref="C109:F109"/>
    <mergeCell ref="C10:F10"/>
    <mergeCell ref="C230:F230"/>
    <mergeCell ref="C164:F164"/>
    <mergeCell ref="C373:F373"/>
    <mergeCell ref="C142:F142"/>
    <mergeCell ref="C329:F329"/>
    <mergeCell ref="C43:F43"/>
    <mergeCell ref="C252:F252"/>
    <mergeCell ref="C21:F21"/>
    <mergeCell ref="C120:F120"/>
    <mergeCell ref="C76:F7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4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70" customWidth="1" min="9" max="9"/>
    <col width="8" customWidth="1" min="10" max="10"/>
    <col width="45" customWidth="1" min="11" max="11"/>
    <col width="12" customWidth="1" min="12" max="12"/>
    <col width="9" customWidth="1" min="13" max="13"/>
  </cols>
  <sheetData>
    <row r="1">
      <c r="A1" s="1" t="inlineStr">
        <is>
          <t>산출근거서 - 대한변호사협회 신회관 인테리어 공사 / 바닥 마감 (AI 산출 v6)</t>
        </is>
      </c>
    </row>
    <row r="2">
      <c r="A2" s="2" t="inlineStr">
        <is>
          <t>파란 글씨 = AI가 도면에서 읽은 값(입력값). 오차 열은 수식. 도면 기준 = PDF 벡터 정밀 측정(벽으로 닫힌 실만).</t>
        </is>
      </c>
    </row>
    <row r="4">
      <c r="A4" s="3" t="inlineStr">
        <is>
          <t>No</t>
        </is>
      </c>
      <c r="B4" s="3" t="inlineStr">
        <is>
          <t>층</t>
        </is>
      </c>
      <c r="C4" s="3" t="inlineStr">
        <is>
          <t>실명</t>
        </is>
      </c>
      <c r="D4" s="3" t="inlineStr">
        <is>
          <t>마감코드</t>
        </is>
      </c>
      <c r="E4" s="3" t="inlineStr">
        <is>
          <t>가로(mm)</t>
        </is>
      </c>
      <c r="F4" s="3" t="inlineStr">
        <is>
          <t>세로(mm)</t>
        </is>
      </c>
      <c r="G4" s="3" t="inlineStr">
        <is>
          <t>면적(㎡)</t>
        </is>
      </c>
      <c r="H4" s="3" t="inlineStr">
        <is>
          <t>걸레받이(m)</t>
        </is>
      </c>
      <c r="I4" s="3" t="inlineStr">
        <is>
          <t>산출 근거 (도면·치수)</t>
        </is>
      </c>
      <c r="J4" s="3" t="inlineStr">
        <is>
          <t>신뢰도</t>
        </is>
      </c>
      <c r="K4" s="3" t="inlineStr">
        <is>
          <t>검토 기록</t>
        </is>
      </c>
      <c r="L4" s="3" t="inlineStr">
        <is>
          <t>도면 기준(㎡)</t>
        </is>
      </c>
      <c r="M4" s="3" t="inlineStr">
        <is>
          <t>오차(%)</t>
        </is>
      </c>
    </row>
    <row r="5" ht="60" customHeight="1">
      <c r="A5" s="25" t="n">
        <v>1</v>
      </c>
      <c r="B5" s="25" t="inlineStr">
        <is>
          <t>B1</t>
        </is>
      </c>
      <c r="C5" s="25" t="inlineStr">
        <is>
          <t>다목적 대회의실</t>
        </is>
      </c>
      <c r="D5" s="25" t="inlineStr">
        <is>
          <t>CT-01</t>
        </is>
      </c>
      <c r="E5" s="26" t="n">
        <v>11160</v>
      </c>
      <c r="F5" s="26" t="n">
        <v>12000</v>
      </c>
      <c r="G5" s="27" t="n">
        <v>124.05</v>
      </c>
      <c r="H5" s="26" t="n">
        <v>38.14</v>
      </c>
      <c r="I5" s="25" t="inlineStr">
        <is>
          <t>B1_dimension_SE: 11450(안목 직전 성벽~동측벽) 에서 신설 차음벽(점선) 위치 offset 약290 공제 =&gt; w=11160; B1_material_NE: 세로 '12000' 숫자 사용 d=12000. 11.16x12.0=133.92. R2: 독립기둥 약0.77x0.58=0.45 공제. 단상(APP' WOOD FLOORING, 카펫 아님) 약6.24x1.51=9.4(도면 비례 추정) 공제. 걸레받이=둘레46.32-남측 쌍여닫이 1940(B1_dimension_SE '1940')-서측문 0.9-0.98-단상 정면 6.24=36.26 || [v5 수정] 걸레받이=둘레 2*(11.16+12.0)=46.32 - 남측 쌍여닫이 1.94 - 단상 정면 6.24 = 38.14. 서측 차음벽 문 공제 삭제. 안목: 11450(코어벽~D.A벽)에서 차음벽 점선 offset 약240~290 공제(R1)는 v4 유지.</t>
        </is>
      </c>
      <c r="J5" s="25" t="inlineStr">
        <is>
          <t>mid</t>
        </is>
      </c>
      <c r="K5" s="25" t="inlineStr">
        <is>
          <t>걸레받이 수정 36.26-&gt;38.14, 면적 124.11-&gt;124.05. v4가 서측 문 0.9+0.98을 공제했으나 그 문들은 B1_material_NE 의 법률구조재단/ELE'V HALL 쪽 문이고 대회의실 서측 차음벽(점선)에는 문이 없음. 대회의실 출입문은 남측 쌍여닫이 1940 하나. 면적은 11.16x12.0-기둥0.45-단상 6.24x1.51(9.42)=124.05로 재계산. | v6: B1은 창·커튼월 접면 없음(동측 D.A는 벽 바깥 선큰, 11450 치수가 벽 안쪽까지) -&gt; 띠 없음, v5 유지</t>
        </is>
      </c>
      <c r="L5" s="28" t="n">
        <v>135.11</v>
      </c>
      <c r="M5" s="29">
        <f>IFERROR((G5-L5)/L5,"")</f>
        <v/>
      </c>
    </row>
    <row r="6" ht="60" customHeight="1">
      <c r="A6" s="25" t="n">
        <v>2</v>
      </c>
      <c r="B6" s="25" t="inlineStr">
        <is>
          <t>B1</t>
        </is>
      </c>
      <c r="C6" s="25" t="inlineStr">
        <is>
          <t>서고</t>
        </is>
      </c>
      <c r="D6" s="25" t="inlineStr">
        <is>
          <t>DE-01</t>
        </is>
      </c>
      <c r="E6" s="26" t="n">
        <v>6930</v>
      </c>
      <c r="F6" s="26" t="n">
        <v>4560</v>
      </c>
      <c r="G6" s="27" t="n">
        <v>35.43</v>
      </c>
      <c r="H6" s="26" t="n">
        <v>25.5</v>
      </c>
      <c r="I6" s="25" t="inlineStr">
        <is>
          <t>B1_dimension_NW: 서고 실치수 숫자 없음 -&gt; grid 7800(1열~2열 사이) 사용. R1: 좌측 외벽+마감 약460, 우측 CAR LIFT벽 약410 공제 =&gt; w=7800-460-410=6930. 깊이: 상부 그리드(0)~방송실 칸막이 중심(약5020, 7300 그리드 비례) - 상부벽 400 - 칸막이 반두께100 = 4560. 방송실(무코드, 제외) 동쪽 L형 연장부(문 있는 통로) 1.7x2.25 가산 = 31.61+3.83=35.44. 6.93x4.56. 칸막이 위치는 도면 비례 추정이라 정확도 낮음. 걸레받이=외곽 약28.0-문(방송실 문1.0+하부 출입문1.2)=25.5</t>
        </is>
      </c>
      <c r="J6" s="25" t="inlineStr">
        <is>
          <t>low</t>
        </is>
      </c>
      <c r="K6" s="25" t="inlineStr">
        <is>
          <t>ok (도면 재확인: 6930x4560 + 방송실 동측 통로 L부 유지. 칸막이 위치는 도면 비례라 low 유지) | v6: B1은 창·커튼월 접면 없음(동측 D.A는 벽 바깥 선큰, 11450 치수가 벽 안쪽까지) -&gt; 띠 없음, v5 유지</t>
        </is>
      </c>
      <c r="L6" s="28" t="n">
        <v>34.79</v>
      </c>
      <c r="M6" s="29">
        <f>IFERROR((G6-L6)/L6,"")</f>
        <v/>
      </c>
    </row>
    <row r="7" ht="60" customHeight="1">
      <c r="A7" s="25" t="n">
        <v>3</v>
      </c>
      <c r="B7" s="25" t="inlineStr">
        <is>
          <t>B1</t>
        </is>
      </c>
      <c r="C7" s="25" t="inlineStr">
        <is>
          <t>기자실</t>
        </is>
      </c>
      <c r="D7" s="25" t="inlineStr">
        <is>
          <t>DE-01</t>
        </is>
      </c>
      <c r="E7" s="26" t="n">
        <v>4100</v>
      </c>
      <c r="F7" s="26" t="n">
        <v>2950</v>
      </c>
      <c r="G7" s="27" t="n">
        <v>12.09</v>
      </c>
      <c r="H7" s="26" t="n">
        <v>13.1</v>
      </c>
      <c r="I7" s="25" t="inlineStr">
        <is>
          <t>B1_dimension_SE: 가로 500+1000+2600=4100, 세로 2950 숫자. 4.1x2.95. 걸레받이=2*(4.1+2.95)-문1000=13.1</t>
        </is>
      </c>
      <c r="J7" s="25" t="inlineStr">
        <is>
          <t>high</t>
        </is>
      </c>
      <c r="K7" s="25" t="inlineStr">
        <is>
          <t>ok | v6: B1은 창·커튼월 접면 없음(동측 D.A는 벽 바깥 선큰, 11450 치수가 벽 안쪽까지) -&gt; 띠 없음, v5 유지</t>
        </is>
      </c>
      <c r="L7" s="28" t="n">
        <v>11.74</v>
      </c>
      <c r="M7" s="29">
        <f>IFERROR((G7-L7)/L7,"")</f>
        <v/>
      </c>
    </row>
    <row r="8" ht="60" customHeight="1">
      <c r="A8" s="25" t="n">
        <v>4</v>
      </c>
      <c r="B8" s="25" t="inlineStr">
        <is>
          <t>B1</t>
        </is>
      </c>
      <c r="C8" s="25" t="inlineStr">
        <is>
          <t>기사대기실</t>
        </is>
      </c>
      <c r="D8" s="25" t="inlineStr">
        <is>
          <t>DE-01</t>
        </is>
      </c>
      <c r="E8" s="26" t="n">
        <v>2000</v>
      </c>
      <c r="F8" s="26" t="n">
        <v>2050</v>
      </c>
      <c r="G8" s="27" t="n">
        <v>4.1</v>
      </c>
      <c r="H8" s="26" t="n">
        <v>7.16</v>
      </c>
      <c r="I8" s="25" t="inlineStr">
        <is>
          <t>B1_dimension_SE: 가로 1060+940=2000 (좌측 300 벽 제외), 세로 2050 숫자. 걸레받이=둘레8.1-문940=7.16. 재질도면에 DELUXE TILE FIN. 문구(코드 태그는 창고 옆 01 DE와 공유 표기)</t>
        </is>
      </c>
      <c r="J8" s="25" t="inlineStr">
        <is>
          <t>mid</t>
        </is>
      </c>
      <c r="K8" s="25" t="inlineStr">
        <is>
          <t>ok | v6: B1은 창·커튼월 접면 없음(동측 D.A는 벽 바깥 선큰, 11450 치수가 벽 안쪽까지) -&gt; 띠 없음, v5 유지</t>
        </is>
      </c>
      <c r="L8" s="30" t="n"/>
      <c r="M8" s="29" t="n"/>
    </row>
    <row r="9" ht="60" customHeight="1">
      <c r="A9" s="25" t="n">
        <v>5</v>
      </c>
      <c r="B9" s="25" t="inlineStr">
        <is>
          <t>B1</t>
        </is>
      </c>
      <c r="C9" s="25" t="inlineStr">
        <is>
          <t>창고</t>
        </is>
      </c>
      <c r="D9" s="25" t="inlineStr">
        <is>
          <t>DE-01</t>
        </is>
      </c>
      <c r="E9" s="26" t="n">
        <v>1700</v>
      </c>
      <c r="F9" s="26" t="n">
        <v>2850</v>
      </c>
      <c r="G9" s="27" t="n">
        <v>4.84</v>
      </c>
      <c r="H9" s="26" t="n">
        <v>8.1</v>
      </c>
      <c r="I9" s="25" t="inlineStr">
        <is>
          <t>B1_dimension_SE: 세로 1000+1850=2850 숫자, 가로는 숫자 없어 벽 중심~외벽 안쪽 도면비례 약1700(추정). 둘레9.1-문1.0=8.1</t>
        </is>
      </c>
      <c r="J9" s="25" t="inlineStr">
        <is>
          <t>low</t>
        </is>
      </c>
      <c r="K9" s="25" t="inlineStr">
        <is>
          <t>ok | v6: B1은 창·커튼월 접면 없음(동측 D.A는 벽 바깥 선큰, 11450 치수가 벽 안쪽까지) -&gt; 띠 없음, v5 유지</t>
        </is>
      </c>
      <c r="L9" s="28" t="n">
        <v>5.17</v>
      </c>
      <c r="M9" s="29">
        <f>IFERROR((G9-L9)/L9,"")</f>
        <v/>
      </c>
    </row>
    <row r="10" ht="60" customHeight="1">
      <c r="A10" s="25" t="n">
        <v>6</v>
      </c>
      <c r="B10" s="25" t="inlineStr">
        <is>
          <t>B1</t>
        </is>
      </c>
      <c r="C10" s="25" t="inlineStr">
        <is>
          <t>이사장실</t>
        </is>
      </c>
      <c r="D10" s="25" t="inlineStr">
        <is>
          <t>DT-01</t>
        </is>
      </c>
      <c r="E10" s="26" t="n">
        <v>2849</v>
      </c>
      <c r="F10" s="26" t="n">
        <v>2495</v>
      </c>
      <c r="G10" s="27" t="n">
        <v>7.11</v>
      </c>
      <c r="H10" s="26" t="n">
        <v>8.19</v>
      </c>
      <c r="I10" s="25" t="inlineStr">
        <is>
          <t>B1_dimension_NE/NW: 가로 2849 x 세로 2495 (실 안쪽 치수 숫자). 재질도면 remark(DT-01: 법률구조재단, 이사장실)에 이사장실 포함. 걸레받이=2*(2.849+2.495)=10.69 - 동측 유리칸막이(문 포함) 2.495 = 8.19</t>
        </is>
      </c>
      <c r="J10" s="25" t="inlineStr">
        <is>
          <t>mid</t>
        </is>
      </c>
      <c r="K10" s="25" t="inlineStr">
        <is>
          <t>ok | v6: B1은 창·커튼월 접면 없음(동측 D.A는 벽 바깥 선큰, 11450 치수가 벽 안쪽까지) -&gt; 띠 없음, v5 유지</t>
        </is>
      </c>
      <c r="L10" s="30" t="n"/>
      <c r="M10" s="29" t="n"/>
    </row>
    <row r="11" ht="60" customHeight="1">
      <c r="A11" s="25" t="n">
        <v>7</v>
      </c>
      <c r="B11" s="25" t="inlineStr">
        <is>
          <t>B1</t>
        </is>
      </c>
      <c r="C11" s="25" t="inlineStr">
        <is>
          <t>법률구조재단</t>
        </is>
      </c>
      <c r="D11" s="25" t="inlineStr">
        <is>
          <t>DT-01</t>
        </is>
      </c>
      <c r="E11" s="26" t="n">
        <v>7845</v>
      </c>
      <c r="F11" s="26" t="n">
        <v>5450</v>
      </c>
      <c r="G11" s="27" t="n">
        <v>31.57</v>
      </c>
      <c r="H11" s="26" t="n">
        <v>22.22</v>
      </c>
      <c r="I11" s="25" t="inlineStr">
        <is>
          <t>B1_dimension_NE: 7845(전체 가로) x (2495+105+2850=5450) = 42.76 에서 이사장실 2849x2495 공제, 준비실(무코드, 105+1690+105=1900 x 1883+105=1988) 공제, 이사장실 하부 벽 105x2849 공제 = 31.57. 걸레받이=코너 노치 제외 둘레 26.59 - 서측문0.9 - 동측문0.98(B1_dimension_NE '980') - 이사장실 유리칸막이 2.495 = 22.22</t>
        </is>
      </c>
      <c r="J11" s="25" t="inlineStr">
        <is>
          <t>mid</t>
        </is>
      </c>
      <c r="K11" s="25" t="inlineStr">
        <is>
          <t>ok | v6: B1은 창·커튼월 접면 없음(동측 D.A는 벽 바깥 선큰, 11450 치수가 벽 안쪽까지) -&gt; 띠 없음, v5 유지</t>
        </is>
      </c>
      <c r="L11" s="28" t="n">
        <v>32.9</v>
      </c>
      <c r="M11" s="29">
        <f>IFERROR((G11-L11)/L11,"")</f>
        <v/>
      </c>
    </row>
    <row r="12" ht="60" customHeight="1">
      <c r="A12" s="25" t="n">
        <v>8</v>
      </c>
      <c r="B12" s="25" t="inlineStr">
        <is>
          <t>2F</t>
        </is>
      </c>
      <c r="C12" s="25" t="inlineStr">
        <is>
          <t>여직원휴게실(수유실)</t>
        </is>
      </c>
      <c r="D12" s="25" t="inlineStr">
        <is>
          <t>CT-02</t>
        </is>
      </c>
      <c r="E12" s="26" t="n">
        <v>2196</v>
      </c>
      <c r="F12" s="26" t="n">
        <v>4045</v>
      </c>
      <c r="G12" s="27" t="n">
        <v>8.550000000000001</v>
      </c>
      <c r="H12" s="26" t="n">
        <v>11.5</v>
      </c>
      <c r="I12" s="25" t="inlineStr">
        <is>
          <t>2F_dimension_NE: 가로 1116+1080=2196, 세로 4045 숫자; 좌측 1116폭 구간은 295 만큼 짧음(2F_dimension_NE '295') =&gt; 1.116x3.75+1.08x4.045=4.19+4.37. 걸레받이=둘레12.48-문 980=11.5</t>
        </is>
      </c>
      <c r="J12" s="25" t="inlineStr">
        <is>
          <t>mid</t>
        </is>
      </c>
      <c r="K12" s="25" t="inlineStr">
        <is>
          <t>ok | v6: 외벽(창) 접면 없음/무수치 북벽 -&gt; 띠 변경 없음</t>
        </is>
      </c>
      <c r="L12" s="28" t="n">
        <v>8.23</v>
      </c>
      <c r="M12" s="29">
        <f>IFERROR((G12-L12)/L12,"")</f>
        <v/>
      </c>
    </row>
    <row r="13" ht="60" customHeight="1">
      <c r="A13" s="25" t="n">
        <v>9</v>
      </c>
      <c r="B13" s="25" t="inlineStr">
        <is>
          <t>2F</t>
        </is>
      </c>
      <c r="C13" s="25" t="inlineStr">
        <is>
          <t>소회의실-1</t>
        </is>
      </c>
      <c r="D13" s="25" t="inlineStr">
        <is>
          <t>CT-02</t>
        </is>
      </c>
      <c r="E13" s="26" t="n">
        <v>3205</v>
      </c>
      <c r="F13" s="26" t="n">
        <v>3900</v>
      </c>
      <c r="G13" s="27" t="n">
        <v>12.29</v>
      </c>
      <c r="H13" s="26" t="n">
        <v>5.13</v>
      </c>
      <c r="I13" s="25" t="inlineStr">
        <is>
          <t>2F_dimension_SW: 가로 3205, 세로 3345(2F_dimension_SE '3345', SW '3390'은 중심선 기준이라 3345 채택). 걸레받이=서벽3.345+동측 폴딩도어 칸막이3.345 (전면 유리·남측 창 제외; 폴딩 칸막이를 양쪽 실에 반영한 가정) || [v5 수정] 걸레받이=서측 고정벽 3.345 + 남측 불투명 외벽 1.78 = 5.13 (동측 폴딩도어, 전면 유리 제외). || [v6 창측 띠] 2F_dimension_SW '3390'/SE '3345' 끝~창 '555' x 가로 3205 - 그리드2 기둥 약0.21. 계산: 남측 555x3.205=+1.78 + 기둥1 공제=-0.21 = +1.57. 걸레받이는 창 하부(FCU 박스)라 변경 없음.</t>
        </is>
      </c>
      <c r="J13" s="25" t="inlineStr">
        <is>
          <t>mid</t>
        </is>
      </c>
      <c r="K13" s="25" t="inlineStr">
        <is>
          <t>창측 띠 +1.57㎡ (2F_dimension_SW '3390'/SE '3345' 끝~창 '555' x 가로 3205 - 그리드2 기둥 약0.21). 면적 10.72-&gt;12.29. 이전 review: 걸레받이 수정 6.69-&gt;5.13. 폴딩도어(ESC-04) 칸막이는 이동식이라 걸레받이 없음(R5 벽이 있는 구간만). 서측 고정벽 3.345만 인정. 반대로 남측 외벽 불투명 기둥/벽체 구간 약1.78m(2F_dimension_SW 하단 진한 벽체 x950~1080)가 누락되어 추가.</t>
        </is>
      </c>
      <c r="L13" s="28" t="n">
        <v>12.39</v>
      </c>
      <c r="M13" s="29">
        <f>IFERROR((G13-L13)/L13,"")</f>
        <v/>
      </c>
    </row>
    <row r="14" ht="60" customHeight="1">
      <c r="A14" s="25" t="n">
        <v>10</v>
      </c>
      <c r="B14" s="25" t="inlineStr">
        <is>
          <t>2F</t>
        </is>
      </c>
      <c r="C14" s="25" t="inlineStr">
        <is>
          <t>소회의실-2</t>
        </is>
      </c>
      <c r="D14" s="25" t="inlineStr">
        <is>
          <t>CT-02</t>
        </is>
      </c>
      <c r="E14" s="26" t="n">
        <v>3203</v>
      </c>
      <c r="F14" s="26" t="n">
        <v>3900</v>
      </c>
      <c r="G14" s="27" t="n">
        <v>12.49</v>
      </c>
      <c r="H14" s="26" t="n">
        <v>0</v>
      </c>
      <c r="I14" s="25" t="inlineStr">
        <is>
          <t>2F_dimension_SW/SE: 가로 3203, 세로 3345. 걸레받이=양측 폴딩도어 칸막이 3.345x2 (가정) || [v5 수정] 양측 폴딩도어, 전면 유리, 남측 유리 =&gt; 걸레받이 0. || [v6 창측 띠] 2F_dimension_SW/SE '3345' 끝~창 '555' x 가로 3203 (기둥 없음). 계산: 남측 555x3.203=+1.78 = +1.78. 걸레받이는 창 하부(FCU 박스)라 변경 없음.</t>
        </is>
      </c>
      <c r="J14" s="25" t="inlineStr">
        <is>
          <t>mid</t>
        </is>
      </c>
      <c r="K14" s="25" t="inlineStr">
        <is>
          <t>창측 띠 +1.78㎡ (2F_dimension_SW/SE '3345' 끝~창 '555' x 가로 3203 (기둥 없음)). 면적 10.71-&gt;12.49. 이전 review: 걸레받이 수정 6.69-&gt;0. 양측이 모두 폴딩도어 칸막이(이동식, 걸레받이 없음), 전면은 유리, 남측은 SE타일상 유리 커튼월. 벽 구간 없음.</t>
        </is>
      </c>
      <c r="L14" s="28" t="n">
        <v>13.15</v>
      </c>
      <c r="M14" s="29">
        <f>IFERROR((G14-L14)/L14,"")</f>
        <v/>
      </c>
    </row>
    <row r="15" ht="60" customHeight="1">
      <c r="A15" s="25" t="n">
        <v>11</v>
      </c>
      <c r="B15" s="25" t="inlineStr">
        <is>
          <t>2F</t>
        </is>
      </c>
      <c r="C15" s="25" t="inlineStr">
        <is>
          <t>소회의실-3</t>
        </is>
      </c>
      <c r="D15" s="25" t="inlineStr">
        <is>
          <t>CT-02</t>
        </is>
      </c>
      <c r="E15" s="26" t="n">
        <v>3203</v>
      </c>
      <c r="F15" s="26" t="n">
        <v>3900</v>
      </c>
      <c r="G15" s="27" t="n">
        <v>12.28</v>
      </c>
      <c r="H15" s="26" t="n">
        <v>3.35</v>
      </c>
      <c r="I15" s="25" t="inlineStr">
        <is>
          <t>2F_dimension_SE: 가로 3203, 세로 3345. 걸레받이=서측 폴딩 3.345 + 동측 금고 벽 3.345 || [v5 수정] 걸레받이=동측 금고 고정벽 3.345 (서측 폴딩도어 제외). || [v6 창측 띠] 2F_dimension_SE '3345' 끝~창 '555' x 가로 3203 - 동측 기둥 약0.21. 계산: 남측 555x3.203=+1.78 + 기둥1 공제=-0.21 = +1.57. 걸레받이는 창 하부(FCU 박스)라 변경 없음.</t>
        </is>
      </c>
      <c r="J15" s="25" t="inlineStr">
        <is>
          <t>mid</t>
        </is>
      </c>
      <c r="K15" s="25" t="inlineStr">
        <is>
          <t>창측 띠 +1.57㎡ (2F_dimension_SE '3345' 끝~창 '555' x 가로 3203 - 동측 기둥 약0.21). 면적 10.71-&gt;12.28. 이전 review: 걸레받이 수정 6.69-&gt;3.35. 서측은 폴딩도어(걸레받이 없음), 동측 금고 벽 3.345만 고정벽.</t>
        </is>
      </c>
      <c r="L15" s="28" t="n">
        <v>12.84</v>
      </c>
      <c r="M15" s="29">
        <f>IFERROR((G15-L15)/L15,"")</f>
        <v/>
      </c>
    </row>
    <row r="16" ht="60" customHeight="1">
      <c r="A16" s="25" t="n">
        <v>12</v>
      </c>
      <c r="B16" s="25" t="inlineStr">
        <is>
          <t>2F</t>
        </is>
      </c>
      <c r="C16" s="25" t="inlineStr">
        <is>
          <t>금고</t>
        </is>
      </c>
      <c r="D16" s="25" t="inlineStr">
        <is>
          <t>DE-01</t>
        </is>
      </c>
      <c r="E16" s="26" t="n">
        <v>1673</v>
      </c>
      <c r="F16" s="26" t="n">
        <v>3290</v>
      </c>
      <c r="G16" s="27" t="n">
        <v>5.5</v>
      </c>
      <c r="H16" s="26" t="n">
        <v>8.949999999999999</v>
      </c>
      <c r="I16" s="25" t="inlineStr">
        <is>
          <t>2F_dimension_SE: 가로 1673, 세로 980+2310=3290 (205/105 벽 제외). 걸레받이=둘레9.93-문980=8.95</t>
        </is>
      </c>
      <c r="J16" s="25" t="inlineStr">
        <is>
          <t>mid</t>
        </is>
      </c>
      <c r="K16" s="25" t="inlineStr">
        <is>
          <t>ok | v6: 외벽(창) 접면 없음/무수치 북벽 -&gt; 띠 변경 없음</t>
        </is>
      </c>
      <c r="L16" s="28" t="n">
        <v>4.87</v>
      </c>
      <c r="M16" s="29">
        <f>IFERROR((G16-L16)/L16,"")</f>
        <v/>
      </c>
    </row>
    <row r="17" ht="60" customHeight="1">
      <c r="A17" s="25" t="n">
        <v>13</v>
      </c>
      <c r="B17" s="25" t="inlineStr">
        <is>
          <t>2F</t>
        </is>
      </c>
      <c r="C17" s="25" t="inlineStr">
        <is>
          <t>O.A RM (서측)</t>
        </is>
      </c>
      <c r="D17" s="25" t="inlineStr">
        <is>
          <t>DT-02</t>
        </is>
      </c>
      <c r="E17" s="26" t="n">
        <v>1395</v>
      </c>
      <c r="F17" s="26" t="n">
        <v>4531</v>
      </c>
      <c r="G17" s="27" t="n">
        <v>6.32</v>
      </c>
      <c r="H17" s="26" t="n">
        <v>9.970000000000001</v>
      </c>
      <c r="I17" s="25" t="inlineStr">
        <is>
          <t>2F_dimension_SW: 가로 190|1395|115 (안목 1395), 세로 4531 숫자. 재질도면 SW타일 태그 '02 DT'(overview는 03처럼 보이나 타일에서 02 확인). 걸레받이=둘레11.85-서측 개구 1880=9.97</t>
        </is>
      </c>
      <c r="J17" s="25" t="inlineStr">
        <is>
          <t>high</t>
        </is>
      </c>
      <c r="K17" s="25" t="inlineStr">
        <is>
          <t>ok | v6: 외벽(창) 접면 없음/무수치 북벽 -&gt; 띠 변경 없음</t>
        </is>
      </c>
      <c r="L17" s="30" t="n"/>
      <c r="M17" s="29" t="n"/>
    </row>
    <row r="18" ht="60" customHeight="1">
      <c r="A18" s="25" t="n">
        <v>14</v>
      </c>
      <c r="B18" s="25" t="inlineStr">
        <is>
          <t>2F</t>
        </is>
      </c>
      <c r="C18" s="25" t="inlineStr">
        <is>
          <t>CORRIDOR 서측 (INFO~O.A 옆)</t>
        </is>
      </c>
      <c r="D18" s="25" t="inlineStr">
        <is>
          <t>DT-02</t>
        </is>
      </c>
      <c r="E18" s="26" t="n">
        <v>1600</v>
      </c>
      <c r="F18" s="26" t="n">
        <v>9753</v>
      </c>
      <c r="G18" s="27" t="n">
        <v>17.47</v>
      </c>
      <c r="H18" s="26" t="n">
        <v>14.75</v>
      </c>
      <c r="I18" s="25" t="inlineStr">
        <is>
          <t>2F_dimension_NW: 1980(INFO 동측~화장실/코어벽) x 약4.93m(INFO 상단벽~O.A RM 상단) 9.76; 2F_dimension_SW: 1600(O.A RM 동벽~코어 서측, '1700|1600|400') x 4.82(O.A RM 구간~코어 하부) 7.71. 길이는 도면비례 추정. 걸레받이=화장실/코어벽3.4+INFO 상벽2.0+O.A동벽4.53+코어 서측5.4 약14.75</t>
        </is>
      </c>
      <c r="J18" s="25" t="inlineStr">
        <is>
          <t>low</t>
        </is>
      </c>
      <c r="K18" s="25" t="inlineStr">
        <is>
          <t>ok | v6: 외벽(창) 접면 없음/무수치 북벽 -&gt; 띠 변경 없음</t>
        </is>
      </c>
      <c r="L18" s="30" t="n"/>
      <c r="M18" s="29" t="n"/>
    </row>
    <row r="19" ht="60" customHeight="1">
      <c r="A19" s="25" t="n">
        <v>15</v>
      </c>
      <c r="B19" s="25" t="inlineStr">
        <is>
          <t>2F</t>
        </is>
      </c>
      <c r="C19" s="25" t="inlineStr">
        <is>
          <t>CORRIDOR 남측</t>
        </is>
      </c>
      <c r="D19" s="25" t="inlineStr">
        <is>
          <t>DT-02</t>
        </is>
      </c>
      <c r="E19" s="26" t="n">
        <v>12410</v>
      </c>
      <c r="F19" s="26" t="n">
        <v>2000</v>
      </c>
      <c r="G19" s="27" t="n">
        <v>24.82</v>
      </c>
      <c r="H19" s="26" t="n">
        <v>11.2</v>
      </c>
      <c r="I19" s="25" t="inlineStr">
        <is>
          <t>2F_dimension_SW/SE: 세로 2000(코어 하부~소회의실 전면, SW '2000' 숫자) x 가로 F-2 전이선(SW x=893)~F-2 전이선(SE x=603) 중 O.A RM 동벽(x=820)부터 SE x=603까지 약13.43m(도면비례 추정). 걸레받이=코어 하부벽9.27+금고 전면1.9. 소회의실 전면 유리 제외 || [v5 수정] 복도 시작을 F-2 전이선(SW x=893)으로 변경: 길이 12.41m(13.7mm/px) x 2000 = 24.82. OFFICE 서측 보조구역과의 중복 1.0x2.0 제거(R4). 걸레받이 11.2 유지.</t>
        </is>
      </c>
      <c r="J19" s="25" t="inlineStr">
        <is>
          <t>low</t>
        </is>
      </c>
      <c r="K19" s="25" t="inlineStr">
        <is>
          <t>이중계산 수정. 면적 26.86-&gt;24.82. v4가 복도 시작을 O.A RM 동벽(SW x=820)으로 잡았으나 OFFICE(DT-03) 보조구역(x 698~893, y 2000폭)이 F-2 전이선(SW x=893)까지 이미 들어가 있어 x 820~893 구간 약1.0m x 2.0m가 OFFICE와 겹쳤음. 복도는 F-2 전이선(SW x=893)부터 동측 F-2(SE x=603)까지 약12.41m로 정정. | v6: 외벽(창) 접면 없음/무수치 북벽 -&gt; 띠 변경 없음</t>
        </is>
      </c>
      <c r="L19" s="30" t="n"/>
      <c r="M19" s="29" t="n"/>
    </row>
    <row r="20" ht="60" customHeight="1">
      <c r="A20" s="25" t="n">
        <v>16</v>
      </c>
      <c r="B20" s="25" t="inlineStr">
        <is>
          <t>2F</t>
        </is>
      </c>
      <c r="C20" s="25" t="inlineStr">
        <is>
          <t>CORRIDOR 동측 (코어~인권팀)</t>
        </is>
      </c>
      <c r="D20" s="25" t="inlineStr">
        <is>
          <t>DT-02</t>
        </is>
      </c>
      <c r="E20" s="26" t="n">
        <v>1600</v>
      </c>
      <c r="F20" s="26" t="n">
        <v>7400</v>
      </c>
      <c r="G20" s="27" t="n">
        <v>11.84</v>
      </c>
      <c r="H20" s="26" t="n">
        <v>6.5</v>
      </c>
      <c r="I20" s="25" t="inlineStr">
        <is>
          <t>2F_dimension_SE: 1600(코어 동측 덕트 끝~인권팀 서벽 숫자 '1600') x 길이 약7.63m(코어 상단~남측 복도, 도면비례). 걸레받이=코어 동측벽 6.5 (인권팀 서측은 유리 가정 0) || [v5 수정] 1600 x 7400 = 11.84. 남측 복도와 경계(SE y~452)에서 겹치지 않음 확인.</t>
        </is>
      </c>
      <c r="J20" s="25" t="inlineStr">
        <is>
          <t>low</t>
        </is>
      </c>
      <c r="K20" s="25" t="inlineStr">
        <is>
          <t>길이 재측정 7.63-&gt;7.40m, 면적 12.21-&gt;11.84. 2F_dimension_SE/NE에서 코어 상단(NE y~790)~남측 복도 상단(SE y~452)을 13.7mm/px로 재면 약7.4m. 인권팀 외곽 세로 7400과도 정합. | v6: 외벽(창) 접면 없음/무수치 북벽 -&gt; 띠 변경 없음</t>
        </is>
      </c>
      <c r="L20" s="30" t="n"/>
      <c r="M20" s="29" t="n"/>
    </row>
    <row r="21" ht="60" customHeight="1">
      <c r="A21" s="25" t="n">
        <v>17</v>
      </c>
      <c r="B21" s="25" t="inlineStr">
        <is>
          <t>2F</t>
        </is>
      </c>
      <c r="C21" s="25" t="inlineStr">
        <is>
          <t>ELE'V HALL + 북측 홀</t>
        </is>
      </c>
      <c r="D21" s="25" t="inlineStr">
        <is>
          <t>DT-02</t>
        </is>
      </c>
      <c r="E21" s="26" t="n"/>
      <c r="F21" s="26" t="n"/>
      <c r="G21" s="27" t="n">
        <v>27.71</v>
      </c>
      <c r="H21" s="26" t="n">
        <v>20.3</v>
      </c>
      <c r="I21" s="25" t="inlineStr">
        <is>
          <t>2F_dimension_NE: 홀 북동부 5413(화장실M 동측~여직원 동벽) x 2000(여직원 하단~인권팀 상단 '2000') = 10.83; 화장실~코어 상단 띠 6.49x1.51 = 9.80 (폭은 그리드/도면비례); ELE'V 서측 1.55x2.67 - 원형기둥(0.4) = 3.74 =&gt; 24.37. 걸레받이 = 화장실 하부벽 약11.3 + 코어 상단/인권팀 상단 3.3 + 서측 3.0 약17.6 || [v5 수정] 북동부 5413x2000=10.83 + 화장실~코어 띠 6.49x1.51=9.80 + ELE'V 서측 2.8x2.67-0.4=7.08 =&gt; 27.71. 걸레받이: v4 17.6 + ELE'V 박스 서벽 2.7.</t>
        </is>
      </c>
      <c r="J21" s="25" t="inlineStr">
        <is>
          <t>low</t>
        </is>
      </c>
      <c r="K21" s="25" t="inlineStr">
        <is>
          <t>ELE'V 서측 블록 폭 오류 수정. v4는 1.55m로 잡았으나 2F_dimension_NW에서 서측 칸막이(x~975)~ELE'V 박스 서벽(x~1195)이 약215px x 13.7 = 2.9m(안목 약2.8m, 3F 동일 구조에서 v4도 2.8 사용). 2.8 x 2.67 - 원형기둥 0.4 = 7.08 로 정정, 면적 24.36-&gt;27.71. 걸레받이는 ELE'V 박스 서벽 약2.7m 추가해 17.6-&gt;20.3. | v6: 외벽(창) 접면 없음/무수치 북벽 -&gt; 띠 변경 없음</t>
        </is>
      </c>
      <c r="L21" s="30" t="n"/>
      <c r="M21" s="29" t="n"/>
    </row>
    <row r="22" ht="60" customHeight="1">
      <c r="A22" s="25" t="n">
        <v>18</v>
      </c>
      <c r="B22" s="25" t="inlineStr">
        <is>
          <t>2F</t>
        </is>
      </c>
      <c r="C22" s="25" t="inlineStr">
        <is>
          <t>인권팀</t>
        </is>
      </c>
      <c r="D22" s="25" t="inlineStr">
        <is>
          <t>DT-02</t>
        </is>
      </c>
      <c r="E22" s="26" t="n">
        <v>3490</v>
      </c>
      <c r="F22" s="26" t="n">
        <v>7170</v>
      </c>
      <c r="G22" s="27" t="n">
        <v>25.02</v>
      </c>
      <c r="H22" s="26" t="n">
        <v>6.98</v>
      </c>
      <c r="I22" s="25" t="inlineStr">
        <is>
          <t>2F_dimension_SE: 가로 3490(안목, 115 벽 양쪽), 세로 5690+980+500=7170 (외곽 7400-115x2). 3.49x7.17. 걸레받이=상·하 고정벽 3.49x2 (좌우는 얇은 단선=유리 가정, 문 980 동측)</t>
        </is>
      </c>
      <c r="J22" s="25" t="inlineStr">
        <is>
          <t>mid</t>
        </is>
      </c>
      <c r="K22" s="25" t="inlineStr">
        <is>
          <t>ok | v6: 외벽(창) 접면 없음/무수치 북벽 -&gt; 띠 변경 없음</t>
        </is>
      </c>
      <c r="L22" s="28" t="n">
        <v>25.7</v>
      </c>
      <c r="M22" s="29">
        <f>IFERROR((G22-L22)/L22,"")</f>
        <v/>
      </c>
    </row>
    <row r="23" ht="60" customHeight="1">
      <c r="A23" s="25" t="n">
        <v>19</v>
      </c>
      <c r="B23" s="25" t="inlineStr">
        <is>
          <t>2F</t>
        </is>
      </c>
      <c r="C23" s="25" t="inlineStr">
        <is>
          <t>OFFICE (서측, 03 DT)</t>
        </is>
      </c>
      <c r="D23" s="25" t="inlineStr">
        <is>
          <t>DT-03</t>
        </is>
      </c>
      <c r="E23" s="26" t="n">
        <v>7200</v>
      </c>
      <c r="F23" s="26" t="n">
        <v>19150</v>
      </c>
      <c r="G23" s="27" t="n">
        <v>162.93</v>
      </c>
      <c r="H23" s="26" t="n">
        <v>37.1</v>
      </c>
      <c r="I23" s="25" t="inlineStr">
        <is>
          <t>2F_dimension_NW: 450|6830(좌측 안목면~서버실/INFO벽) x (2661+980+270+3078=6989) = 47.73; 2F_dimension_SW: 850+6350=7200(안목~O.A RM 서측벽) x 12161(19150-6989) = 87.56; O.A RM 남측 보조구역 2.69x2.0(F-2 전이선까지) 5.38 + 소회의실-1 서측벽까지 1.71x3.56=6.09 + INFO/O.A 사이 1.71x1.99=3.40. 합150.15 - 독립기둥 2개(약0.5x0.5) 0.52 = 149.6. 서버실/INFO'MATION(무코드)·O.A RM(별도)·복도 제외. 걸레받이=북벽6.83+외벽 불투명구간 약7.1+서버실/INFO 서측벽6.99+O.A RM 서측벽(1441x2)2.88+O.A 북·남벽 3.6+소회의실-1 서측벽3.6+남측 불투명벽 6.1 약37.1 || [v6 창측 띠] 2F_dimension_NW '450'(창 내면~마감선) x 서측 길이 약18.64m(그리드E~마감 남단) + 2F_dimension_SW '555'(마감선~남측 창) x 남측 길이 약9.21m(서측 창 내면~O.A측 보조벽 x810) - SW 모서리 기둥 약0.5x0.41. 계산: 서측 450x18.64=+8.39 + 남측 555x9.21=+5.11 + 기둥1 공제=-0.21 = +13.29. 걸레받이는 창 하부(FCU 박스)라 변경 없음.</t>
        </is>
      </c>
      <c r="J23" s="25" t="inlineStr">
        <is>
          <t>mid</t>
        </is>
      </c>
      <c r="K23" s="25" t="inlineStr">
        <is>
          <t>창측 띠 +13.29㎡ (2F_dimension_NW '450'(창 내면~마감선) x 서측 길이 약18.64m(그리드E~마감 남단) + 2F_dimension_SW '555'(마감선~남측 창) x 남측 길이 약9.21m(서측 창 내면~O.A측 보조벽 x810) - SW 모서리 기둥 약0.5x0.41). 면적 149.64-&gt;162.93. 이전 review: ok</t>
        </is>
      </c>
      <c r="L23" s="30" t="n"/>
      <c r="M23" s="29" t="n"/>
    </row>
    <row r="24" ht="60" customHeight="1">
      <c r="A24" s="25" t="n">
        <v>20</v>
      </c>
      <c r="B24" s="25" t="inlineStr">
        <is>
          <t>2F</t>
        </is>
      </c>
      <c r="C24" s="25" t="inlineStr">
        <is>
          <t>OFFICE (동측, 03 DT)</t>
        </is>
      </c>
      <c r="D24" s="25" t="inlineStr">
        <is>
          <t>DT-03</t>
        </is>
      </c>
      <c r="E24" s="26" t="n">
        <v>7178</v>
      </c>
      <c r="F24" s="26" t="n">
        <v>19150</v>
      </c>
      <c r="G24" s="27" t="n">
        <v>142.55</v>
      </c>
      <c r="H24" s="26" t="n">
        <v>30</v>
      </c>
      <c r="I24" s="25" t="inlineStr">
        <is>
          <t>2F_dimension_NE: 7178(여직원휴게실 동벽~동측 안목) x 6150(북측 안목~인권팀 상단) = 44.14; 인권팀 동측(5137=동안목-인권팀 동벽, 도면비례) x 7400(인권팀 외곽 세로 2F_dimension_SE) = 38.01; 인권팀 하부~남측 5600(2F_dimension_SE) x 7973(F-2 전이선 x=603~동안목) = 44.65; 금고 동벽~F-2선 0.93x3.59=3.34 =&gt; 130.14 - 기둥3개 0.78 = 129.4. 걸레받이=북벽7.18+동측 외벽 불투명구간 7.2+여직원 동벽4.05+인권팀 상·하벽4.0+금고 동벽3.35+남측 불투명 4.2 약30.0 || [v6 창측 띠] 2F_dimension_NE '439'(마감선~동측 창) x 동측 길이 약18.69m + 남측 '555' x 금고 동벽~동측 창 약9.34m - SE 모서리 기둥 약0.5x0.41. 금고 남벽 바깥 띠(약1.7x0.555)는 실 밖이라 제외. 계산: 동측 439x18.69=+8.21 + 남측 555x9.34=+5.18 + 기둥1 공제=-0.21 = +13.18. 걸레받이는 창 하부(FCU 박스)라 변경 없음.</t>
        </is>
      </c>
      <c r="J24" s="25" t="inlineStr">
        <is>
          <t>mid</t>
        </is>
      </c>
      <c r="K24" s="25" t="inlineStr">
        <is>
          <t>창측 띠 +13.18㎡ (2F_dimension_NE '439'(마감선~동측 창) x 동측 길이 약18.69m + 남측 '555' x 금고 동벽~동측 창 약9.34m - SE 모서리 기둥 약0.5x0.41. 금고 남벽 바깥 띠(약1.7x0.555)는 실 밖이라 제외). 면적 129.37-&gt;142.55. 이전 review: ok</t>
        </is>
      </c>
      <c r="L24" s="30" t="n"/>
      <c r="M24" s="29" t="n"/>
    </row>
    <row r="25" ht="60" customHeight="1">
      <c r="A25" s="25" t="n">
        <v>21</v>
      </c>
      <c r="B25" s="25" t="inlineStr">
        <is>
          <t>3F</t>
        </is>
      </c>
      <c r="C25" s="25" t="inlineStr">
        <is>
          <t>정책조정실</t>
        </is>
      </c>
      <c r="D25" s="25" t="inlineStr">
        <is>
          <t>CT-01</t>
        </is>
      </c>
      <c r="E25" s="26" t="n">
        <v>5250</v>
      </c>
      <c r="F25" s="26" t="n">
        <v>4890</v>
      </c>
      <c r="G25" s="27" t="n">
        <v>30.16</v>
      </c>
      <c r="H25" s="26" t="n">
        <v>17.6</v>
      </c>
      <c r="I25" s="25" t="inlineStr">
        <is>
          <t>3F_dimension_NW: 4000+1250=5250(안목) x (3910+980=4890) = 25.67 + 하부 노치부 4000x559 = 2.24 =&gt; 27.91. 걸레받이=북5.25+서 불투명외벽 3.7+남4.0+동 3.91+기타 0.76 || [v6 창측 띠] 3F_dimension_NW 서측 창 내면~마감선(2F_dimension_NW '450'과 동일 외벽 구조, 3F는 숫자 미기재라 화면 약35px=480mm에서 450 준용) x 서측 길이 약5.0m. 계산: 서측 450x5.0=+2.25 = +2.25. 걸레받이는 창 하부(FCU 박스)라 변경 없음.</t>
        </is>
      </c>
      <c r="J25" s="25" t="inlineStr">
        <is>
          <t>mid</t>
        </is>
      </c>
      <c r="K25" s="25" t="inlineStr">
        <is>
          <t>창측 띠 +2.25㎡ (3F_dimension_NW 서측 창 내면~마감선(2F_dimension_NW '450'과 동일 외벽 구조, 3F는 숫자 미기재라 화면 약35px=480mm에서 450 준용) x 서측 길이 약5.0m). 면적 27.91-&gt;30.16. 이전 review: ok</t>
        </is>
      </c>
      <c r="L25" s="28" t="n">
        <v>29.07</v>
      </c>
      <c r="M25" s="29">
        <f>IFERROR((G25-L25)/L25,"")</f>
        <v/>
      </c>
    </row>
    <row r="26" ht="60" customHeight="1">
      <c r="A26" s="25" t="n">
        <v>22</v>
      </c>
      <c r="B26" s="25" t="inlineStr">
        <is>
          <t>3F</t>
        </is>
      </c>
      <c r="C26" s="25" t="inlineStr">
        <is>
          <t>사무총장실</t>
        </is>
      </c>
      <c r="D26" s="25" t="inlineStr">
        <is>
          <t>CT-01</t>
        </is>
      </c>
      <c r="E26" s="26" t="n">
        <v>5600</v>
      </c>
      <c r="F26" s="26" t="n">
        <v>3660</v>
      </c>
      <c r="G26" s="27" t="n">
        <v>20.5</v>
      </c>
      <c r="H26" s="26" t="n">
        <v>13.5</v>
      </c>
      <c r="I26" s="25" t="inlineStr">
        <is>
          <t>3F_dimension_NW: 가로 4200+250+980+320=5750 에서 차음벽 조립 약150 공제=5600, 세로 3910(서벽 길이)-약250(하부 붙박이장/차음벽)=3660. 5.6x3.66. 걸레받이=북5.6+서3.66+동3.66+남 개구 제외 0.6</t>
        </is>
      </c>
      <c r="J26" s="25" t="inlineStr">
        <is>
          <t>low</t>
        </is>
      </c>
      <c r="K26" s="25" t="inlineStr">
        <is>
          <t>ok | v6: 외벽(창) 접면 없음/무수치 북벽 -&gt; 띠 변경 없음</t>
        </is>
      </c>
      <c r="L26" s="28" t="n">
        <v>19.55</v>
      </c>
      <c r="M26" s="29">
        <f>IFERROR((G26-L26)/L26,"")</f>
        <v/>
      </c>
    </row>
    <row r="27" ht="60" customHeight="1">
      <c r="A27" s="25" t="n">
        <v>23</v>
      </c>
      <c r="B27" s="25" t="inlineStr">
        <is>
          <t>3F</t>
        </is>
      </c>
      <c r="C27" s="25" t="inlineStr">
        <is>
          <t>사무국장실</t>
        </is>
      </c>
      <c r="D27" s="25" t="inlineStr">
        <is>
          <t>CT-01</t>
        </is>
      </c>
      <c r="E27" s="26" t="n">
        <v>3384</v>
      </c>
      <c r="F27" s="26" t="n">
        <v>4445</v>
      </c>
      <c r="G27" s="27" t="n">
        <v>14.83</v>
      </c>
      <c r="H27" s="26" t="n">
        <v>9.6</v>
      </c>
      <c r="I27" s="25" t="inlineStr">
        <is>
          <t>3F_dimension_SW: 가로 980+300+2104=3384, 세로 3895(3F_dimension_SE '3895'). 걸레받이=서3.895+동3.895+남 불투명 1.8 (전면 유리 제외) || [v6 창측 띠] 3F_dimension_SW/SE '3895' 끝~창 '550' x 가로 3384 - 기둥 약0.21. 계산: 남측 550x3.384=+1.86 + 기둥1 공제=-0.21 = +1.65. 걸레받이는 창 하부(FCU 박스)라 변경 없음.</t>
        </is>
      </c>
      <c r="J27" s="25" t="inlineStr">
        <is>
          <t>mid</t>
        </is>
      </c>
      <c r="K27" s="25" t="inlineStr">
        <is>
          <t>창측 띠 +1.65㎡ (3F_dimension_SW/SE '3895' 끝~창 '550' x 가로 3384 - 기둥 약0.21). 면적 13.18-&gt;14.83. 이전 review: ok</t>
        </is>
      </c>
      <c r="L27" s="28" t="n">
        <v>16.18</v>
      </c>
      <c r="M27" s="29">
        <f>IFERROR((G27-L27)/L27,"")</f>
        <v/>
      </c>
    </row>
    <row r="28" ht="60" customHeight="1">
      <c r="A28" s="25" t="n">
        <v>24</v>
      </c>
      <c r="B28" s="25" t="inlineStr">
        <is>
          <t>3F</t>
        </is>
      </c>
      <c r="C28" s="25" t="inlineStr">
        <is>
          <t>중회의실(임원휴게실)</t>
        </is>
      </c>
      <c r="D28" s="25" t="inlineStr">
        <is>
          <t>CT-02</t>
        </is>
      </c>
      <c r="E28" s="26" t="n">
        <v>3198</v>
      </c>
      <c r="F28" s="26" t="n">
        <v>4445</v>
      </c>
      <c r="G28" s="27" t="n">
        <v>14.22</v>
      </c>
      <c r="H28" s="26" t="n">
        <v>3.9</v>
      </c>
      <c r="I28" s="25" t="inlineStr">
        <is>
          <t>3F_dimension_SE/SW: 가로 3198, 세로 3895. 걸레받이=서측벽 3.895+동측 폴딩 칸막이 3.895 (가정) || [v5 수정] 걸레받이=서측 고정벽 3.895 (동측 폴딩도어 제외). || [v6 창측 띠] 3F_dimension_SE '3895' 끝~창 '550' x 가로 3198 (기둥 없음). 계산: 남측 550x3.198=+1.76 = +1.76. 걸레받이는 창 하부(FCU 박스)라 변경 없음.</t>
        </is>
      </c>
      <c r="J28" s="25" t="inlineStr">
        <is>
          <t>mid</t>
        </is>
      </c>
      <c r="K28" s="25" t="inlineStr">
        <is>
          <t>창측 띠 +1.76㎡ (3F_dimension_SE '3895' 끝~창 '550' x 가로 3198 (기둥 없음)). 면적 12.46-&gt;14.22. 이전 review: 걸레받이 수정 7.79-&gt;3.9. 동측 폴딩도어(ESC-04)는 걸레받이 없음. 서측 사무국장실 칸막이 고정벽 3.895만 인정.</t>
        </is>
      </c>
      <c r="L28" s="28" t="n">
        <v>13.98</v>
      </c>
      <c r="M28" s="29">
        <f>IFERROR((G28-L28)/L28,"")</f>
        <v/>
      </c>
    </row>
    <row r="29" ht="60" customHeight="1">
      <c r="A29" s="25" t="n">
        <v>25</v>
      </c>
      <c r="B29" s="25" t="inlineStr">
        <is>
          <t>3F</t>
        </is>
      </c>
      <c r="C29" s="25" t="inlineStr">
        <is>
          <t>중회의실-1</t>
        </is>
      </c>
      <c r="D29" s="25" t="inlineStr">
        <is>
          <t>CT-02</t>
        </is>
      </c>
      <c r="E29" s="26" t="n">
        <v>3198</v>
      </c>
      <c r="F29" s="26" t="n">
        <v>4445</v>
      </c>
      <c r="G29" s="27" t="n">
        <v>14.01</v>
      </c>
      <c r="H29" s="26" t="n">
        <v>0</v>
      </c>
      <c r="I29" s="25" t="inlineStr">
        <is>
          <t>3F_dimension_SE: 가로 3198, 세로 3895. 걸레받이=양측 폴딩 칸막이 3.895x2 (가정) || [v5 수정] 양측 폴딩도어, 전면 유리 =&gt; 0. || [v6 창측 띠] 3F_dimension_SE '3895' 끝~창 '550' x 가로 3198 - 기둥 약0.21. 계산: 남측 550x3.198=+1.76 + 기둥1 공제=-0.21 = +1.55. 걸레받이는 창 하부(FCU 박스)라 변경 없음.</t>
        </is>
      </c>
      <c r="J29" s="25" t="inlineStr">
        <is>
          <t>mid</t>
        </is>
      </c>
      <c r="K29" s="25" t="inlineStr">
        <is>
          <t>창측 띠 +1.55㎡ (3F_dimension_SE '3895' 끝~창 '550' x 가로 3198 - 기둥 약0.21). 면적 12.46-&gt;14.01. 이전 review: 걸레받이 수정 7.79-&gt;0. 양측 폴딩도어 칸막이, 전면 유리 =&gt; 벽 구간 없음.</t>
        </is>
      </c>
      <c r="L29" s="28" t="n">
        <v>13.84</v>
      </c>
      <c r="M29" s="29">
        <f>IFERROR((G29-L29)/L29,"")</f>
        <v/>
      </c>
    </row>
    <row r="30" ht="60" customHeight="1">
      <c r="A30" s="25" t="n">
        <v>26</v>
      </c>
      <c r="B30" s="25" t="inlineStr">
        <is>
          <t>3F</t>
        </is>
      </c>
      <c r="C30" s="25" t="inlineStr">
        <is>
          <t>대회의실</t>
        </is>
      </c>
      <c r="D30" s="25" t="inlineStr">
        <is>
          <t>CT-02</t>
        </is>
      </c>
      <c r="E30" s="26" t="n">
        <v>5098</v>
      </c>
      <c r="F30" s="26" t="n">
        <v>4445</v>
      </c>
      <c r="G30" s="27" t="n">
        <v>22.66</v>
      </c>
      <c r="H30" s="26" t="n">
        <v>3.9</v>
      </c>
      <c r="I30" s="25" t="inlineStr">
        <is>
          <t>3F_dimension_SE: 가로 5098, 세로 3895. 걸레받이=서측 폴딩 3.895+동측 고정벽 3.895 || [v5 수정] 걸레받이=동측 고정벽 3.895 (서측 폴딩도어 제외). || [v6 창측 띠] 3F_dimension_SE '3895' 끝~창 '550' x 가로 5098 (기둥 없음). 계산: 남측 550x5.098=+2.80 = +2.80. 걸레받이는 창 하부(FCU 박스)라 변경 없음.</t>
        </is>
      </c>
      <c r="J30" s="25" t="inlineStr">
        <is>
          <t>mid</t>
        </is>
      </c>
      <c r="K30" s="25" t="inlineStr">
        <is>
          <t>창측 띠 +2.80㎡ (3F_dimension_SE '3895' 끝~창 '550' x 가로 5098 (기둥 없음)). 면적 19.86-&gt;22.66. 이전 review: 걸레받이 수정 7.79-&gt;3.9. 서측 폴딩도어 제외, 동측 고정벽 3.895만 인정.</t>
        </is>
      </c>
      <c r="L30" s="28" t="n">
        <v>22.85</v>
      </c>
      <c r="M30" s="29">
        <f>IFERROR((G30-L30)/L30,"")</f>
        <v/>
      </c>
    </row>
    <row r="31" ht="60" customHeight="1">
      <c r="A31" s="25" t="n">
        <v>27</v>
      </c>
      <c r="B31" s="25" t="inlineStr">
        <is>
          <t>3F</t>
        </is>
      </c>
      <c r="C31" s="25" t="inlineStr">
        <is>
          <t>접견실</t>
        </is>
      </c>
      <c r="D31" s="25" t="inlineStr">
        <is>
          <t>CT-03</t>
        </is>
      </c>
      <c r="E31" s="26" t="n">
        <v>5145</v>
      </c>
      <c r="F31" s="26" t="n">
        <v>6900</v>
      </c>
      <c r="G31" s="27" t="n">
        <v>42.05</v>
      </c>
      <c r="H31" s="26" t="n">
        <v>15.3</v>
      </c>
      <c r="I31" s="25" t="inlineStr">
        <is>
          <t>3F_dimension_SW: 850+980+3315=5145(가로), 세로 5400+520+980=6900(동벽 길이). 5.145x6.9=35.50 + 서측 곡면 베이(현창) 면적 약3.5(chord 5.5m x 높이 1.05m x 2/3, 도면비례 추정) - 기둥 0.39 = 38.61. 걸레받이=동벽 6.9-문0.98+북5.145+남(슬라이딩 도어 0.98 제외)4.17, 곡면 창 제외 || [v6 창측 띠] 3F_dimension_NW/SW 서측 창 450(준용) x 직선 1.64m + 곡면 현창 마감호~창호 사이 띠 450 x 호길이 약6.0m (v5 베이 가산은 마감호 안쪽까지만 포함). 계산: 서측 직선 450x1.64=+0.74 + 곡면 베이 띠 450x약6.0=+2.70 = +3.44. 걸레받이는 창 하부(FCU 박스)라 변경 없음.</t>
        </is>
      </c>
      <c r="J31" s="25" t="inlineStr">
        <is>
          <t>mid</t>
        </is>
      </c>
      <c r="K31" s="25" t="inlineStr">
        <is>
          <t>창측 띠 +3.44㎡ (3F_dimension_NW/SW 서측 창 450(준용) x 직선 1.64m + 곡면 현창 마감호~창호 사이 띠 450 x 호길이 약6.0m (v5 베이 가산은 마감호 안쪽까지만 포함)). 면적 38.61-&gt;42.05. 이전 review: ok</t>
        </is>
      </c>
      <c r="L31" s="28" t="n">
        <v>39.55</v>
      </c>
      <c r="M31" s="29">
        <f>IFERROR((G31-L31)/L31,"")</f>
        <v/>
      </c>
    </row>
    <row r="32" ht="60" customHeight="1">
      <c r="A32" s="25" t="n">
        <v>28</v>
      </c>
      <c r="B32" s="25" t="inlineStr">
        <is>
          <t>3F</t>
        </is>
      </c>
      <c r="C32" s="25" t="inlineStr">
        <is>
          <t>협회장실</t>
        </is>
      </c>
      <c r="D32" s="25" t="inlineStr">
        <is>
          <t>CT-03</t>
        </is>
      </c>
      <c r="E32" s="26" t="n">
        <v>5145</v>
      </c>
      <c r="F32" s="26" t="n">
        <v>4700</v>
      </c>
      <c r="G32" s="27" t="n">
        <v>35.98</v>
      </c>
      <c r="H32" s="26" t="n">
        <v>15.3</v>
      </c>
      <c r="I32" s="25" t="inlineStr">
        <is>
          <t>3F_dimension_SW: 상부 5145 x (940+300+1170+105+2295 중 슬라이딩벽 아래 약4700) = 24.18; 하부 4645('4645' 숫자) x 1500(105+410+980+105 구간) = 6.97; 기둥 0.13 공제 =&gt; 31.02. 걸레받이=동벽 3.76+북 4.17+서 불투명 3.5+남 불투명 2.85+하부 1.0 || [v6 창측 띠] 3F_dimension_SW 남측 '450'(마감선~창) x 창 내면~서벽(x512) 5.12m + 서측 450(준용) x 6.37m - SW 기둥 약0.21. 계산: 서측 450x6.37=+2.87 + 남측 450x5.12=+2.30 + 기둥1 공제=-0.21 = +4.96. 걸레받이는 창 하부(FCU 박스)라 변경 없음.</t>
        </is>
      </c>
      <c r="J32" s="25" t="inlineStr">
        <is>
          <t>mid</t>
        </is>
      </c>
      <c r="K32" s="25" t="inlineStr">
        <is>
          <t>창측 띠 +4.96㎡ (3F_dimension_SW 남측 '450'(마감선~창) x 창 내면~서벽(x512) 5.12m + 서측 450(준용) x 6.37m - SW 기둥 약0.21). 면적 31.02-&gt;35.98. 이전 review: ok</t>
        </is>
      </c>
      <c r="L32" s="28" t="n">
        <v>35.18</v>
      </c>
      <c r="M32" s="29">
        <f>IFERROR((G32-L32)/L32,"")</f>
        <v/>
      </c>
    </row>
    <row r="33" ht="60" customHeight="1">
      <c r="A33" s="25" t="n">
        <v>29</v>
      </c>
      <c r="B33" s="25" t="inlineStr">
        <is>
          <t>3F</t>
        </is>
      </c>
      <c r="C33" s="25" t="inlineStr">
        <is>
          <t>창고</t>
        </is>
      </c>
      <c r="D33" s="25" t="inlineStr">
        <is>
          <t>DE-01</t>
        </is>
      </c>
      <c r="E33" s="26" t="n">
        <v>2180</v>
      </c>
      <c r="F33" s="26" t="n">
        <v>4230</v>
      </c>
      <c r="G33" s="27" t="n">
        <v>9.050000000000001</v>
      </c>
      <c r="H33" s="26" t="n">
        <v>11.84</v>
      </c>
      <c r="I33" s="25" t="inlineStr">
        <is>
          <t>3F_dimension_NE: 가로 1100+980+100=2180, 세로 4230. 기둥 돌출 0.17 공제 =&gt; 9.05. 걸레받이=둘레12.82-문980=11.84</t>
        </is>
      </c>
      <c r="J33" s="25" t="inlineStr">
        <is>
          <t>mid</t>
        </is>
      </c>
      <c r="K33" s="25" t="inlineStr">
        <is>
          <t>ok | v6: 외벽(창) 접면 없음/무수치 북벽 -&gt; 띠 변경 없음</t>
        </is>
      </c>
      <c r="L33" s="30" t="n"/>
      <c r="M33" s="29" t="n"/>
    </row>
    <row r="34" ht="60" customHeight="1">
      <c r="A34" s="25" t="n">
        <v>30</v>
      </c>
      <c r="B34" s="25" t="inlineStr">
        <is>
          <t>3F</t>
        </is>
      </c>
      <c r="C34" s="25" t="inlineStr">
        <is>
          <t>비서</t>
        </is>
      </c>
      <c r="D34" s="25" t="inlineStr">
        <is>
          <t>DT-01</t>
        </is>
      </c>
      <c r="E34" s="26" t="n">
        <v>4440</v>
      </c>
      <c r="F34" s="26" t="n">
        <v>2295</v>
      </c>
      <c r="G34" s="27" t="n">
        <v>10.19</v>
      </c>
      <c r="H34" s="26" t="n">
        <v>10.8</v>
      </c>
      <c r="I34" s="25" t="inlineStr">
        <is>
          <t>3F_dimension_SW: 가로 2000+799+190+1450(+385 이중벽 제외)=4439, 세로 2295. 4.44x2.295. 걸레받이=상부 벽 1.745+동 2.295+서 2.295+하부벽 4.44 (상부 붙박이장 2.12·개구 0.8 제외)</t>
        </is>
      </c>
      <c r="J34" s="25" t="inlineStr">
        <is>
          <t>mid</t>
        </is>
      </c>
      <c r="K34" s="25" t="inlineStr">
        <is>
          <t>ok | v6: 외벽(창) 접면 없음/무수치 북벽 -&gt; 띠 변경 없음</t>
        </is>
      </c>
      <c r="L34" s="30" t="n"/>
      <c r="M34" s="29" t="n"/>
    </row>
    <row r="35" ht="60" customHeight="1">
      <c r="A35" s="25" t="n">
        <v>31</v>
      </c>
      <c r="B35" s="25" t="inlineStr">
        <is>
          <t>3F</t>
        </is>
      </c>
      <c r="C35" s="25" t="inlineStr">
        <is>
          <t>LOUNGE</t>
        </is>
      </c>
      <c r="D35" s="25" t="inlineStr">
        <is>
          <t>DT-02</t>
        </is>
      </c>
      <c r="E35" s="26" t="n">
        <v>5740</v>
      </c>
      <c r="F35" s="26" t="n">
        <v>9250</v>
      </c>
      <c r="G35" s="27" t="n">
        <v>53.09</v>
      </c>
      <c r="H35" s="26" t="n">
        <v>16</v>
      </c>
      <c r="I35" s="25" t="inlineStr">
        <is>
          <t>3F_dimension_NW/SW: 폭 접견실 동벽~코어 서벽 약5.74m(도면비례), 길이 사무총장실 하단~코어 하부 약9.25m(도면비례, 1500/2400/4500 숫자와 정합). 숫자 직접 표기 없어 신뢰도 낮음. 걸레받이=서측 접견실/협회장실 동벽 7.2+북 1.0+동 코어벽 7.8</t>
        </is>
      </c>
      <c r="J35" s="25" t="inlineStr">
        <is>
          <t>low</t>
        </is>
      </c>
      <c r="K35" s="25" t="inlineStr">
        <is>
          <t>ok | v6: 외벽(창) 접면 없음/무수치 북벽 -&gt; 띠 변경 없음</t>
        </is>
      </c>
      <c r="L35" s="30" t="n"/>
      <c r="M35" s="29" t="n"/>
    </row>
    <row r="36" ht="60" customHeight="1">
      <c r="A36" s="25" t="n">
        <v>32</v>
      </c>
      <c r="B36" s="25" t="inlineStr">
        <is>
          <t>3F</t>
        </is>
      </c>
      <c r="C36" s="25" t="inlineStr">
        <is>
          <t>CORRIDOR 남측</t>
        </is>
      </c>
      <c r="D36" s="25" t="inlineStr">
        <is>
          <t>DT-02</t>
        </is>
      </c>
      <c r="E36" s="26" t="n">
        <v>17080</v>
      </c>
      <c r="F36" s="26" t="n">
        <v>2000</v>
      </c>
      <c r="G36" s="27" t="n">
        <v>34.16</v>
      </c>
      <c r="H36" s="26" t="n">
        <v>10.2</v>
      </c>
      <c r="I36" s="25" t="inlineStr">
        <is>
          <t>3F_dimension_SE: 세로 2000('2000' 숫자) x 가로 협회장실 동벽~F-2 전이선(SE x=606) 약17.08m(도면비례). 걸레받이=코어 하부벽 8.5+비서 상부벽 1.745. 전면 유리 제외</t>
        </is>
      </c>
      <c r="J36" s="25" t="inlineStr">
        <is>
          <t>low</t>
        </is>
      </c>
      <c r="K36" s="25" t="inlineStr">
        <is>
          <t>ok | v6: 외벽(창) 접면 없음/무수치 북벽 -&gt; 띠 변경 없음</t>
        </is>
      </c>
      <c r="L36" s="30" t="n"/>
      <c r="M36" s="29" t="n"/>
    </row>
    <row r="37" ht="60" customHeight="1">
      <c r="A37" s="25" t="n">
        <v>33</v>
      </c>
      <c r="B37" s="25" t="inlineStr">
        <is>
          <t>3F</t>
        </is>
      </c>
      <c r="C37" s="25" t="inlineStr">
        <is>
          <t>CORRIDOR 동측</t>
        </is>
      </c>
      <c r="D37" s="25" t="inlineStr">
        <is>
          <t>DT-02</t>
        </is>
      </c>
      <c r="E37" s="26" t="n">
        <v>2000</v>
      </c>
      <c r="F37" s="26" t="n">
        <v>7230</v>
      </c>
      <c r="G37" s="27" t="n">
        <v>14.46</v>
      </c>
      <c r="H37" s="26" t="n">
        <v>8.9</v>
      </c>
      <c r="I37" s="25" t="inlineStr">
        <is>
          <t>3F_dimension_NE/SE: 폭 2000(코어 동측~J구역 서벽 '2000') x 길이 약7.23m(코어 상단~코어 하단, '4000|1500|1500' 정합). 걸레받이=코어 동벽 5.7+J구역 서벽 3.2</t>
        </is>
      </c>
      <c r="J37" s="25" t="inlineStr">
        <is>
          <t>mid</t>
        </is>
      </c>
      <c r="K37" s="25" t="inlineStr">
        <is>
          <t>ok | v6: 외벽(창) 접면 없음/무수치 북벽 -&gt; 띠 변경 없음</t>
        </is>
      </c>
      <c r="L37" s="30" t="n"/>
      <c r="M37" s="29" t="n"/>
    </row>
    <row r="38" ht="60" customHeight="1">
      <c r="A38" s="25" t="n">
        <v>34</v>
      </c>
      <c r="B38" s="25" t="inlineStr">
        <is>
          <t>3F</t>
        </is>
      </c>
      <c r="C38" s="25" t="inlineStr">
        <is>
          <t>CORRIDOR 북측</t>
        </is>
      </c>
      <c r="D38" s="25" t="inlineStr">
        <is>
          <t>DT-02</t>
        </is>
      </c>
      <c r="E38" s="26" t="n">
        <v>3680</v>
      </c>
      <c r="F38" s="26" t="n">
        <v>1815</v>
      </c>
      <c r="G38" s="27" t="n">
        <v>6.68</v>
      </c>
      <c r="H38" s="26" t="n">
        <v>3</v>
      </c>
      <c r="I38" s="25" t="inlineStr">
        <is>
          <t>3F_dimension_NE: 1680+2000=3680 x 1815('1815' 숫자). 걸레받이=창고 전면벽 1.3+코어 상단벽 1.65</t>
        </is>
      </c>
      <c r="J38" s="25" t="inlineStr">
        <is>
          <t>mid</t>
        </is>
      </c>
      <c r="K38" s="25" t="inlineStr">
        <is>
          <t>ok | v6: 외벽(창) 접면 없음/무수치 북벽 -&gt; 띠 변경 없음</t>
        </is>
      </c>
      <c r="L38" s="30" t="n"/>
      <c r="M38" s="29" t="n"/>
    </row>
    <row r="39" ht="60" customHeight="1">
      <c r="A39" s="25" t="n">
        <v>35</v>
      </c>
      <c r="B39" s="25" t="inlineStr">
        <is>
          <t>3F</t>
        </is>
      </c>
      <c r="C39" s="25" t="inlineStr">
        <is>
          <t>ELE'V HALL</t>
        </is>
      </c>
      <c r="D39" s="25" t="inlineStr">
        <is>
          <t>DT-02</t>
        </is>
      </c>
      <c r="E39" s="26" t="n"/>
      <c r="F39" s="26" t="n"/>
      <c r="G39" s="27" t="n">
        <v>16.36</v>
      </c>
      <c r="H39" s="26" t="n">
        <v>13.7</v>
      </c>
      <c r="I39" s="25" t="inlineStr">
        <is>
          <t>3F_dimension_NW: 화장실 하부~코어 상단 띠 6.43x1.5('1500' 자동문 구간 높이) = 9.64 + ELE'V 서측 2.8x2.4('2400') = 6.72 =&gt; 16.36. 걸레받이=화장실 하벽 4.7+코어 상단 5.3+서벽 2.4+기타</t>
        </is>
      </c>
      <c r="J39" s="25" t="inlineStr">
        <is>
          <t>low</t>
        </is>
      </c>
      <c r="K39" s="25" t="inlineStr">
        <is>
          <t>ok | v6: 외벽(창) 접면 없음/무수치 북벽 -&gt; 띠 변경 없음</t>
        </is>
      </c>
      <c r="L39" s="30" t="n"/>
      <c r="M39" s="29" t="n"/>
    </row>
    <row r="40" ht="60" customHeight="1">
      <c r="A40" s="25" t="n">
        <v>36</v>
      </c>
      <c r="B40" s="25" t="inlineStr">
        <is>
          <t>3F</t>
        </is>
      </c>
      <c r="C40" s="25" t="inlineStr">
        <is>
          <t>OFFICE (동측 공보/총무/입법/법제/공제)</t>
        </is>
      </c>
      <c r="D40" s="25" t="inlineStr">
        <is>
          <t>DT-03</t>
        </is>
      </c>
      <c r="E40" s="26" t="n"/>
      <c r="F40" s="26" t="n"/>
      <c r="G40" s="27" t="n">
        <v>129.05</v>
      </c>
      <c r="H40" s="26" t="n">
        <v>18.3</v>
      </c>
      <c r="I40" s="25" t="inlineStr">
        <is>
          <t>3F_dimension_NE/SE: 북측 4.562x6.15(대회협력실 동벽~동안목 x 안목~'1815' 하단) 28.06; 대회협력실 하부 4.275x1.815+모따기 삼각 0.78=8.54; 5682+700=6382 x 6.93(J구역 하단까지) 44.23; 동측 곡면 베이 약3.8(도면비례); F-2 전이선 동측 7.864x2000 15.73; 대회의실 동측 4.59x3895 17.88; 기둥2 -0.52 =&gt; 117.7. 걸레받이=북 4.56+동 불투명 7.1+대회의실 동벽 3.9+남 불투명 2.7 || [v6 창측 띠] 3F_dimension_NE '5682|700|700'(기둥박스 외면~창 700, v5 경계가 5682+700에서 끝난 구간은 700) + 마감선이 경계인 구간은 2F '439' 준용 440 + 곡면 현창 띠 440 x 호길이 6.0 + 남측 '550' x 대회의실 동벽~동측 창 5.44 - 기둥 0.21. 계산: 동측 북블록 440x5.71=+2.51 + 동측 직선 700x0.93=+0.65 + 동측 곡면 베이 띠 440x6.0=+2.64 + 동측 남블록 440x6.26=+2.75 + 남측 550x5.44=+2.99 + 기둥1 공제=-0.21 = +11.34. 걸레받이는 창 하부(FCU 박스)라 변경 없음.</t>
        </is>
      </c>
      <c r="J40" s="25" t="inlineStr">
        <is>
          <t>low</t>
        </is>
      </c>
      <c r="K40" s="25" t="inlineStr">
        <is>
          <t>창측 띠 +11.34㎡ (3F_dimension_NE '5682|700|700'(기둥박스 외면~창 700, v5 경계가 5682+700에서 끝난 구간은 700) + 마감선이 경계인 구간은 2F '439' 준용 440 + 곡면 현창 띠 440 x 호길이 6.0 + 남측 '550' x 대회의실 동벽~동측 창 5.44 - 기둥 0.21). 면적 117.71-&gt;129.05. 이전 review: ok</t>
        </is>
      </c>
      <c r="L40" s="30" t="n"/>
      <c r="M40" s="2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60" customWidth="1" min="3" max="3"/>
    <col width="18" customWidth="1" min="4" max="4"/>
    <col width="50" customWidth="1" min="5" max="5"/>
  </cols>
  <sheetData>
    <row r="1">
      <c r="A1" s="1" t="inlineStr">
        <is>
          <t>견적팀·발주처에 확인할 항목 (AI가 혼자 결정하면 안 되는 경계)</t>
        </is>
      </c>
    </row>
    <row r="3">
      <c r="A3" s="3" t="inlineStr">
        <is>
          <t>#</t>
        </is>
      </c>
      <c r="B3" s="3" t="inlineStr">
        <is>
          <t>항목</t>
        </is>
      </c>
      <c r="C3" s="3" t="inlineStr">
        <is>
          <t>근거</t>
        </is>
      </c>
      <c r="D3" s="3" t="inlineStr">
        <is>
          <t>수량 영향</t>
        </is>
      </c>
      <c r="E3" s="3" t="inlineStr">
        <is>
          <t>질문</t>
        </is>
      </c>
    </row>
    <row r="4" ht="45" customHeight="1">
      <c r="A4" s="25" t="n">
        <v>1</v>
      </c>
      <c r="B4" s="25" t="inlineStr">
        <is>
          <t>창측 띠(FCU 박스 구간) 포함 여부</t>
        </is>
      </c>
      <c r="C4" s="25" t="inlineStr">
        <is>
          <t>치수선이 창 앞에서 끝나고 555/450/439mm 띠가 별도 기재. AI가 처음엔 이 띠를 빠뜨려 창가 회의실·임원실 8곳이 10~19% 작게 나옴</t>
        </is>
      </c>
      <c r="D4" s="25" t="inlineStr">
        <is>
          <t>+61.1㎡ (2F 31.4, 3F 29.8)</t>
        </is>
      </c>
      <c r="E4" s="25" t="inlineStr">
        <is>
          <t>FCU 박스 하부까지 바닥재를 까나요, 박스 앞에서 끊나요?</t>
        </is>
      </c>
    </row>
    <row r="5" ht="45" customHeight="1">
      <c r="A5" s="25" t="n">
        <v>2</v>
      </c>
      <c r="B5" s="25" t="inlineStr">
        <is>
          <t>내역 코드 번호 ≠ 도면 범례 번호</t>
        </is>
      </c>
      <c r="C5" s="25" t="inlineStr">
        <is>
          <t>도면에는 CT-01~03만 있는데 내역에는 CT-01~05. 내역 CT-01(101㎡)이 도면 CT-01 실(B1 대회의실 135㎡ 단독)보다 작음 → 번호 체계가 다름</t>
        </is>
      </c>
      <c r="D5" s="25" t="inlineStr">
        <is>
          <t>코드별 대조 불가</t>
        </is>
      </c>
      <c r="E5" s="25" t="inlineStr">
        <is>
          <t>내역 CT-01~05가 각각 어느 실인지 매핑표가 있나요?</t>
        </is>
      </c>
    </row>
    <row r="6" ht="45" customHeight="1">
      <c r="A6" s="25" t="n">
        <v>3</v>
      </c>
      <c r="B6" s="25" t="inlineStr">
        <is>
          <t>데코타일 면적 차이 +103㎡</t>
        </is>
      </c>
      <c r="C6" s="25" t="inlineStr">
        <is>
          <t>도면에서 코드가 붙은 DT 면적 760㎡ vs 내역 863㎡. 후보: 태그 없이 문구만 있는 실, 서버실·INFO·O.A ROOM 등 무코드 실, B1 미표기 구역</t>
        </is>
      </c>
      <c r="D6" s="25" t="inlineStr">
        <is>
          <t>+103㎡</t>
        </is>
      </c>
      <c r="E6" s="25" t="inlineStr">
        <is>
          <t>코드 태그가 없는 실(서버실 등)도 데코타일로 산출하나요?</t>
        </is>
      </c>
    </row>
    <row r="7" ht="45" customHeight="1">
      <c r="A7" s="25" t="n">
        <v>4</v>
      </c>
      <c r="B7" s="25" t="inlineStr">
        <is>
          <t>태그 없는 실의 마감 문구</t>
        </is>
      </c>
      <c r="C7" s="25" t="inlineStr">
        <is>
          <t>B1 기사대기실 '~DELUXE TILE FIN.', 2F 직원휴게실 '~DECO TILE FIN.' 등 코드 태그 없이 문구만 있음</t>
        </is>
      </c>
      <c r="D7" s="25" t="inlineStr">
        <is>
          <t>약 21㎡</t>
        </is>
      </c>
      <c r="E7" s="25" t="inlineStr">
        <is>
          <t>문구만 있는 실도 해당 코드로 산출하나요?</t>
        </is>
      </c>
    </row>
    <row r="8" ht="45" customHeight="1">
      <c r="A8" s="25" t="n">
        <v>5</v>
      </c>
      <c r="B8" s="25" t="inlineStr">
        <is>
          <t>단상(우드플로링) 하부</t>
        </is>
      </c>
      <c r="C8" s="25" t="inlineStr">
        <is>
          <t>B1 다목적 대회의실 단상 6000x1200 - 내역에 '단상설치 1EA' 별도</t>
        </is>
      </c>
      <c r="D8" s="25" t="inlineStr">
        <is>
          <t>-7.2㎡ (CT-01)</t>
        </is>
      </c>
      <c r="E8" s="25" t="inlineStr">
        <is>
          <t>단상 하부에 카펫을 깔지 않는 게 맞나요?</t>
        </is>
      </c>
    </row>
    <row r="9" ht="45" customHeight="1">
      <c r="A9" s="25" t="n">
        <v>6</v>
      </c>
      <c r="B9" s="25" t="inlineStr">
        <is>
          <t>규격 불일치 DE-01</t>
        </is>
      </c>
      <c r="C9" s="25" t="inlineStr">
        <is>
          <t>내역 300x300 ↔ 도면 범례 450x450</t>
        </is>
      </c>
      <c r="D9" s="25" t="inlineStr">
        <is>
          <t>단가 영향</t>
        </is>
      </c>
      <c r="E9" s="25" t="inlineStr">
        <is>
          <t>최종 규격은 어느 쪽인가요?</t>
        </is>
      </c>
    </row>
    <row r="10" ht="45" customHeight="1">
      <c r="A10" s="25" t="n">
        <v>7</v>
      </c>
      <c r="B10" s="25" t="inlineStr">
        <is>
          <t>규격 불일치 DT-01</t>
        </is>
      </c>
      <c r="C10" s="25" t="inlineStr">
        <is>
          <t>내역 450x450 ↔ MATERIAL LIST 600x600 T5</t>
        </is>
      </c>
      <c r="D10" s="25" t="inlineStr">
        <is>
          <t>단가 영향</t>
        </is>
      </c>
      <c r="E10" s="25" t="inlineStr">
        <is>
          <t>최종 규격은 어느 쪽인가요?</t>
        </is>
      </c>
    </row>
    <row r="11" ht="45" customHeight="1">
      <c r="A11" s="25" t="n">
        <v>8</v>
      </c>
      <c r="B11" s="25" t="inlineStr">
        <is>
          <t>폴딩도어 구간 걸레받이</t>
        </is>
      </c>
      <c r="C11" s="25" t="inlineStr">
        <is>
          <t>이동식 칸막이 하부는 벽이 아니므로 제외로 처리</t>
        </is>
      </c>
      <c r="D11" s="25" t="inlineStr">
        <is>
          <t>수 m</t>
        </is>
      </c>
      <c r="E11" s="25" t="inlineStr">
        <is>
          <t>폴딩도어 하부 걸레받이 처리 기준은?</t>
        </is>
      </c>
    </row>
    <row r="12" ht="45" customHeight="1">
      <c r="A12" s="25" t="n">
        <v>9</v>
      </c>
      <c r="B12" s="25" t="inlineStr">
        <is>
          <t>걸레받이 총량 차이</t>
        </is>
      </c>
      <c r="C12" s="25" t="inlineStr">
        <is>
          <t>AI 460m vs 내역 765m. 열린 사무실 외곽·기둥 둘레·가구 뒤 처리 기준이 다른 것으로 추정</t>
        </is>
      </c>
      <c r="D12" s="25" t="inlineStr">
        <is>
          <t>-305m</t>
        </is>
      </c>
      <c r="E12" s="25" t="inlineStr">
        <is>
          <t>기둥 둘레와 붙박이 가구 뒤에도 걸레받이를 넣나요?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하네스 실험 기록 - 같은 도면, 같은 모델, 지시·도구만 바꿔 6회 실행</t>
        </is>
      </c>
    </row>
    <row r="3">
      <c r="A3" s="3" t="inlineStr">
        <is>
          <t>버전</t>
        </is>
      </c>
      <c r="B3" s="3" t="inlineStr">
        <is>
          <t>바꾼 것</t>
        </is>
      </c>
      <c r="C3" s="3" t="inlineStr">
        <is>
          <t>실 단위 평균오차</t>
        </is>
      </c>
      <c r="D3" s="3" t="inlineStr">
        <is>
          <t>±5% 이내 실</t>
        </is>
      </c>
      <c r="E3" s="3" t="inlineStr">
        <is>
          <t>근거 있는 면적 비율</t>
        </is>
      </c>
      <c r="F3" s="3" t="inlineStr">
        <is>
          <t>합계 오차(도면 기준)</t>
        </is>
      </c>
    </row>
    <row r="4">
      <c r="A4" s="25" t="inlineStr">
        <is>
          <t>v1</t>
        </is>
      </c>
      <c r="B4" s="25" t="inlineStr">
        <is>
          <t>도면 4장 주고 '물량 산출해줘'</t>
        </is>
      </c>
      <c r="C4" s="31" t="inlineStr">
        <is>
          <t>채점 불가(근거 없음)</t>
        </is>
      </c>
      <c r="D4" s="25" t="inlineStr">
        <is>
          <t>0/19</t>
        </is>
      </c>
      <c r="E4" s="31" t="n">
        <v>0</v>
      </c>
      <c r="F4" s="31" t="n">
        <v>-0.026</v>
      </c>
    </row>
    <row r="5">
      <c r="A5" s="25" t="inlineStr">
        <is>
          <t>v2</t>
        </is>
      </c>
      <c r="B5" s="25" t="inlineStr">
        <is>
          <t>실별 표 형식 + 근거·신뢰도 기재 강제</t>
        </is>
      </c>
      <c r="C5" s="31" t="n">
        <v>0.163</v>
      </c>
      <c r="D5" s="25" t="inlineStr">
        <is>
          <t>6/19</t>
        </is>
      </c>
      <c r="E5" s="31" t="n">
        <v>0.343</v>
      </c>
      <c r="F5" s="31" t="n">
        <v>-0.154</v>
      </c>
    </row>
    <row r="6">
      <c r="A6" s="25" t="inlineStr">
        <is>
          <t>v3</t>
        </is>
      </c>
      <c r="B6" s="25" t="inlineStr">
        <is>
          <t>입력 추가: 치수 도면 + 고해상도 4분할 타일, 적힌 숫자만 사용</t>
        </is>
      </c>
      <c r="C6" s="31" t="n">
        <v>0.143</v>
      </c>
      <c r="D6" s="25" t="inlineStr">
        <is>
          <t>4/19</t>
        </is>
      </c>
      <c r="E6" s="31" t="n">
        <v>0.503</v>
      </c>
      <c r="F6" s="31" t="n">
        <v>-0.057</v>
      </c>
    </row>
    <row r="7">
      <c r="A7" s="25" t="inlineStr">
        <is>
          <t>v4</t>
        </is>
      </c>
      <c r="B7" s="25" t="inlineStr">
        <is>
          <t>견적 실무 규칙 R1~R7 (안목, 기둥 공제, 이중계산 금지, 정미량, 층별 검산)</t>
        </is>
      </c>
      <c r="C7" s="31" t="n">
        <v>0.08800000000000001</v>
      </c>
      <c r="D7" s="25" t="inlineStr">
        <is>
          <t>8/19</t>
        </is>
      </c>
      <c r="E7" s="31" t="n">
        <v>0.64</v>
      </c>
      <c r="F7" s="31" t="n">
        <v>-0.046</v>
      </c>
    </row>
    <row r="8">
      <c r="A8" s="25" t="inlineStr">
        <is>
          <t>v5</t>
        </is>
      </c>
      <c r="B8" s="25" t="inlineStr">
        <is>
          <t>검토자 에이전트가 v4를 도면과 대조해 수정</t>
        </is>
      </c>
      <c r="C8" s="31" t="n">
        <v>0.08800000000000001</v>
      </c>
      <c r="D8" s="25" t="inlineStr">
        <is>
          <t>8/19</t>
        </is>
      </c>
      <c r="E8" s="31" t="n">
        <v>0.6679999999999999</v>
      </c>
      <c r="F8" s="31" t="n">
        <v>-0.08500000000000001</v>
      </c>
    </row>
    <row r="9">
      <c r="A9" s="25" t="inlineStr">
        <is>
          <t>v6</t>
        </is>
      </c>
      <c r="B9" s="25" t="inlineStr">
        <is>
          <t>검증 데이터에서 찾은 오차 패턴(창측 띠) 규칙 추가</t>
        </is>
      </c>
      <c r="C9" s="31" t="n">
        <v>0.043</v>
      </c>
      <c r="D9" s="25" t="inlineStr">
        <is>
          <t>13/19</t>
        </is>
      </c>
      <c r="E9" s="31" t="n">
        <v>0.675</v>
      </c>
      <c r="F9" s="31" t="n">
        <v>-0.034</v>
      </c>
    </row>
    <row r="11">
      <c r="A11" s="2" t="inlineStr">
        <is>
          <t>주의: v6 규칙은 검증 세트(19실)의 오차를 보고 찾았고 같은 세트로 평가했으므로 낙관적일 수 있음. 공사 1건·버전별 1회 실행.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2026-10-14T08:02:27Z</dcterms:created>
  <dcterms:modified xmlns:dcterms="http://purl.org/dc/terms/" xmlns:xsi="http://www.w3.org/2001/XMLSchema-instance" xsi:type="dcterms:W3CDTF">2026-10-14T08:02:27Z</dcterms:modified>
</cp:coreProperties>
</file>