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공종별집계" sheetId="1" state="visible" r:id="rId3"/>
    <sheet name="산출근거서" sheetId="2" state="visible" r:id="rId4"/>
    <sheet name="검토 필요" sheetId="3" state="visible" r:id="rId5"/>
    <sheet name="실험 기록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<sst xmlns="http://schemas.openxmlformats.org/spreadsheetml/2006/main" count="367" uniqueCount="232">
  <si>
    <r>
      <rPr>
        <b val="true"/>
        <sz val="13"/>
        <rFont val="Noto Sans CJK SC"/>
        <family val="2"/>
      </rPr>
      <t xml:space="preserve">공종별집계 </t>
    </r>
    <r>
      <rPr>
        <b val="true"/>
        <sz val="13"/>
        <rFont val="Arial"/>
        <family val="0"/>
        <charset val="1"/>
      </rPr>
      <t xml:space="preserve">- </t>
    </r>
    <r>
      <rPr>
        <b val="true"/>
        <sz val="13"/>
        <rFont val="Noto Sans CJK SC"/>
        <family val="2"/>
      </rPr>
      <t xml:space="preserve">바닥 마감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목공사및수장공사 중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</si>
  <si>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11"/>
        <color rgb="FF666666"/>
        <rFont val="Noto Sans CJK SC"/>
        <family val="2"/>
      </rPr>
      <t xml:space="preserve">수량 </t>
    </r>
    <r>
      <rPr>
        <i val="true"/>
        <sz val="11"/>
        <color rgb="FF666666"/>
        <rFont val="Arial"/>
        <family val="0"/>
        <charset val="1"/>
      </rPr>
      <t xml:space="preserve">= </t>
    </r>
    <r>
      <rPr>
        <i val="true"/>
        <sz val="11"/>
        <color rgb="FF666666"/>
        <rFont val="Noto Sans CJK SC"/>
        <family val="2"/>
      </rPr>
      <t xml:space="preserve">산출근거서 합계</t>
    </r>
    <r>
      <rPr>
        <i val="true"/>
        <sz val="11"/>
        <color rgb="FF666666"/>
        <rFont val="Arial"/>
        <family val="0"/>
        <charset val="1"/>
      </rPr>
      <t xml:space="preserve">(SUMIFS). </t>
    </r>
    <r>
      <rPr>
        <i val="true"/>
        <sz val="11"/>
        <color rgb="FF666666"/>
        <rFont val="Noto Sans CJK SC"/>
        <family val="2"/>
      </rPr>
      <t xml:space="preserve">도면 기준 </t>
    </r>
    <r>
      <rPr>
        <i val="true"/>
        <sz val="11"/>
        <color rgb="FF666666"/>
        <rFont val="Arial"/>
        <family val="0"/>
        <charset val="1"/>
      </rPr>
      <t xml:space="preserve">= PDF </t>
    </r>
    <r>
      <rPr>
        <i val="true"/>
        <sz val="11"/>
        <color rgb="FF666666"/>
        <rFont val="Noto Sans CJK SC"/>
        <family val="2"/>
      </rPr>
      <t xml:space="preserve">벡터 측정</t>
    </r>
    <r>
      <rPr>
        <i val="true"/>
        <sz val="11"/>
        <color rgb="FF666666"/>
        <rFont val="Arial"/>
        <family val="0"/>
        <charset val="1"/>
      </rPr>
      <t xml:space="preserve">, </t>
    </r>
    <r>
      <rPr>
        <i val="true"/>
        <sz val="11"/>
        <color rgb="FF666666"/>
        <rFont val="Noto Sans CJK SC"/>
        <family val="2"/>
      </rPr>
      <t xml:space="preserve">내역서 </t>
    </r>
    <r>
      <rPr>
        <i val="true"/>
        <sz val="11"/>
        <color rgb="FF666666"/>
        <rFont val="Arial"/>
        <family val="0"/>
        <charset val="1"/>
      </rPr>
      <t xml:space="preserve">= </t>
    </r>
    <r>
      <rPr>
        <i val="true"/>
        <sz val="11"/>
        <color rgb="FF666666"/>
        <rFont val="Noto Sans CJK SC"/>
        <family val="2"/>
      </rPr>
      <t xml:space="preserve">발주처 공개 공내역서</t>
    </r>
    <r>
      <rPr>
        <i val="true"/>
        <sz val="11"/>
        <color rgb="FF666666"/>
        <rFont val="Arial"/>
        <family val="0"/>
        <charset val="1"/>
      </rPr>
      <t xml:space="preserve">(2022). </t>
    </r>
    <r>
      <rPr>
        <i val="true"/>
        <sz val="11"/>
        <color rgb="FF666666"/>
        <rFont val="Noto Sans CJK SC"/>
        <family val="2"/>
      </rPr>
      <t xml:space="preserve">수량은 정미량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할증은 일위대가에서 처리</t>
    </r>
    <r>
      <rPr>
        <i val="true"/>
        <sz val="11"/>
        <color rgb="FF666666"/>
        <rFont val="Arial"/>
        <family val="0"/>
        <charset val="1"/>
      </rPr>
      <t xml:space="preserve">).</t>
    </r>
  </si>
  <si>
    <t xml:space="preserve">품명</t>
  </si>
  <si>
    <t xml:space="preserve">규격</t>
  </si>
  <si>
    <t xml:space="preserve">단위</t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</si>
  <si>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산출 수량</t>
    </r>
  </si>
  <si>
    <r>
      <rPr>
        <b val="true"/>
        <sz val="11"/>
        <color rgb="FFFFFFFF"/>
        <rFont val="Noto Sans CJK SC"/>
        <family val="2"/>
      </rPr>
      <t xml:space="preserve">도면 기준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벡터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</si>
  <si>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내역서 수량</t>
  </si>
  <si>
    <r>
      <rPr>
        <b val="true"/>
        <sz val="11"/>
        <color rgb="FFFFFFFF"/>
        <rFont val="Arial"/>
        <family val="0"/>
        <charset val="1"/>
      </rPr>
      <t xml:space="preserve">AI-</t>
    </r>
    <r>
      <rPr>
        <b val="true"/>
        <sz val="11"/>
        <color rgb="FFFFFFFF"/>
        <rFont val="Noto Sans CJK SC"/>
        <family val="2"/>
      </rPr>
      <t xml:space="preserve">도면 오차</t>
    </r>
  </si>
  <si>
    <r>
      <rPr>
        <b val="true"/>
        <sz val="11"/>
        <color rgb="FFFFFFFF"/>
        <rFont val="Arial"/>
        <family val="0"/>
        <charset val="1"/>
      </rPr>
      <t xml:space="preserve">AI-</t>
    </r>
    <r>
      <rPr>
        <b val="true"/>
        <sz val="11"/>
        <color rgb="FFFFFFFF"/>
        <rFont val="Noto Sans CJK SC"/>
        <family val="2"/>
      </rPr>
      <t xml:space="preserve">내역 차이</t>
    </r>
  </si>
  <si>
    <t xml:space="preserve">비고</t>
  </si>
  <si>
    <r>
      <rPr>
        <sz val="11"/>
        <color theme="1"/>
        <rFont val="Noto Sans CJK SC"/>
        <family val="2"/>
      </rPr>
      <t xml:space="preserve">비닐타일 깔기 </t>
    </r>
    <r>
      <rPr>
        <sz val="11"/>
        <color theme="1"/>
        <rFont val="Arial"/>
        <family val="0"/>
        <charset val="1"/>
      </rPr>
      <t xml:space="preserve">[DE-01]</t>
    </r>
  </si>
  <si>
    <r>
      <rPr>
        <sz val="11"/>
        <color theme="1"/>
        <rFont val="Noto Sans CJK SC"/>
        <family val="2"/>
      </rPr>
      <t xml:space="preserve">디럭스타일 </t>
    </r>
    <r>
      <rPr>
        <sz val="11"/>
        <color theme="1"/>
        <rFont val="Arial"/>
        <family val="0"/>
        <charset val="1"/>
      </rPr>
      <t xml:space="preserve">THK3 (</t>
    </r>
    <r>
      <rPr>
        <sz val="11"/>
        <color theme="1"/>
        <rFont val="Noto Sans CJK SC"/>
        <family val="2"/>
      </rPr>
      <t xml:space="preserve">도면 범례 </t>
    </r>
    <r>
      <rPr>
        <sz val="11"/>
        <color theme="1"/>
        <rFont val="Arial"/>
        <family val="0"/>
        <charset val="1"/>
      </rPr>
      <t xml:space="preserve">450x450)</t>
    </r>
  </si>
  <si>
    <t xml:space="preserve">M2</t>
  </si>
  <si>
    <r>
      <rPr>
        <sz val="11"/>
        <color theme="1"/>
        <rFont val="Noto Sans CJK SC"/>
        <family val="2"/>
      </rPr>
      <t xml:space="preserve">내역서 규격 </t>
    </r>
    <r>
      <rPr>
        <sz val="11"/>
        <color theme="1"/>
        <rFont val="Arial"/>
        <family val="0"/>
        <charset val="1"/>
      </rPr>
      <t xml:space="preserve">300x300 ↔ </t>
    </r>
    <r>
      <rPr>
        <sz val="11"/>
        <color theme="1"/>
        <rFont val="Noto Sans CJK SC"/>
        <family val="2"/>
      </rPr>
      <t xml:space="preserve">도면 </t>
    </r>
    <r>
      <rPr>
        <sz val="11"/>
        <color theme="1"/>
        <rFont val="Arial"/>
        <family val="0"/>
        <charset val="1"/>
      </rPr>
      <t xml:space="preserve">450x450 (</t>
    </r>
    <r>
      <rPr>
        <sz val="11"/>
        <color theme="1"/>
        <rFont val="Noto Sans CJK SC"/>
        <family val="2"/>
      </rPr>
      <t xml:space="preserve">규격 불일치 확인 필요</t>
    </r>
    <r>
      <rPr>
        <sz val="11"/>
        <color theme="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</si>
  <si>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비닐타일 깔기 </t>
    </r>
    <r>
      <rPr>
        <sz val="11"/>
        <color theme="1"/>
        <rFont val="Arial"/>
        <family val="0"/>
        <charset val="1"/>
      </rPr>
      <t xml:space="preserve">[DT-01]</t>
    </r>
  </si>
  <si>
    <r>
      <rPr>
        <sz val="11"/>
        <color theme="1"/>
        <rFont val="Noto Sans CJK SC"/>
        <family val="2"/>
      </rPr>
      <t xml:space="preserve">데코타일 </t>
    </r>
    <r>
      <rPr>
        <sz val="11"/>
        <color theme="1"/>
        <rFont val="Arial"/>
        <family val="0"/>
        <charset val="1"/>
      </rPr>
      <t xml:space="preserve">(MATERIAL LIST 600x600 T5)</t>
    </r>
  </si>
  <si>
    <r>
      <rPr>
        <sz val="11"/>
        <color theme="1"/>
        <rFont val="Noto Sans CJK SC"/>
        <family val="2"/>
      </rPr>
      <t xml:space="preserve">내역서 규격 </t>
    </r>
    <r>
      <rPr>
        <sz val="11"/>
        <color theme="1"/>
        <rFont val="Arial"/>
        <family val="0"/>
        <charset val="1"/>
      </rPr>
      <t xml:space="preserve">450x450 ↔ MATERIAL LIST 600x600 (</t>
    </r>
    <r>
      <rPr>
        <sz val="11"/>
        <color theme="1"/>
        <rFont val="Noto Sans CJK SC"/>
        <family val="2"/>
      </rPr>
      <t xml:space="preserve">규격 불일치 확인 필요</t>
    </r>
    <r>
      <rPr>
        <sz val="11"/>
        <color theme="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</si>
  <si>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비닐타일 깔기 </t>
    </r>
    <r>
      <rPr>
        <sz val="11"/>
        <color theme="1"/>
        <rFont val="Arial"/>
        <family val="0"/>
        <charset val="1"/>
      </rPr>
      <t xml:space="preserve">[DT-02]</t>
    </r>
  </si>
  <si>
    <r>
      <rPr>
        <sz val="11"/>
        <color theme="1"/>
        <rFont val="Noto Sans CJK SC"/>
        <family val="2"/>
      </rPr>
      <t xml:space="preserve">데코타일 </t>
    </r>
    <r>
      <rPr>
        <sz val="11"/>
        <color theme="1"/>
        <rFont val="Arial"/>
        <family val="0"/>
        <charset val="1"/>
      </rPr>
      <t xml:space="preserve">457x914</t>
    </r>
  </si>
  <si>
    <r>
      <rPr>
        <sz val="11"/>
        <color theme="1"/>
        <rFont val="Noto Sans CJK SC"/>
        <family val="2"/>
      </rPr>
      <t xml:space="preserve">비닐타일 깔기 </t>
    </r>
    <r>
      <rPr>
        <sz val="11"/>
        <color theme="1"/>
        <rFont val="Arial"/>
        <family val="0"/>
        <charset val="1"/>
      </rPr>
      <t xml:space="preserve">[DT-03]</t>
    </r>
  </si>
  <si>
    <r>
      <rPr>
        <sz val="11"/>
        <color theme="1"/>
        <rFont val="Noto Sans CJK SC"/>
        <family val="2"/>
      </rPr>
      <t xml:space="preserve">타일카펫 깔기 </t>
    </r>
    <r>
      <rPr>
        <sz val="11"/>
        <color theme="1"/>
        <rFont val="Arial"/>
        <family val="0"/>
        <charset val="1"/>
      </rPr>
      <t xml:space="preserve">[CT-01]</t>
    </r>
  </si>
  <si>
    <r>
      <rPr>
        <sz val="11"/>
        <color theme="1"/>
        <rFont val="Noto Sans CJK SC"/>
        <family val="2"/>
      </rPr>
      <t xml:space="preserve">타일카펫 </t>
    </r>
    <r>
      <rPr>
        <sz val="11"/>
        <color theme="1"/>
        <rFont val="Arial"/>
        <family val="0"/>
        <charset val="1"/>
      </rPr>
      <t xml:space="preserve">610x610</t>
    </r>
  </si>
  <si>
    <r>
      <rPr>
        <sz val="11"/>
        <color theme="1"/>
        <rFont val="Arial"/>
        <family val="0"/>
        <charset val="1"/>
      </rPr>
      <t xml:space="preserve">B1 </t>
    </r>
    <r>
      <rPr>
        <sz val="11"/>
        <color theme="1"/>
        <rFont val="Noto Sans CJK SC"/>
        <family val="2"/>
      </rPr>
      <t xml:space="preserve">다목적 대회의실 단상</t>
    </r>
    <r>
      <rPr>
        <sz val="11"/>
        <color theme="1"/>
        <rFont val="Arial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우드플로링</t>
    </r>
    <r>
      <rPr>
        <sz val="11"/>
        <color theme="1"/>
        <rFont val="Arial"/>
        <family val="0"/>
        <charset val="1"/>
      </rPr>
      <t xml:space="preserve">) AI</t>
    </r>
    <r>
      <rPr>
        <sz val="11"/>
        <color theme="1"/>
        <rFont val="Noto Sans CJK SC"/>
        <family val="2"/>
      </rPr>
      <t xml:space="preserve">가 약 </t>
    </r>
    <r>
      <rPr>
        <sz val="11"/>
        <color theme="1"/>
        <rFont val="Arial"/>
        <family val="0"/>
        <charset val="1"/>
      </rPr>
      <t xml:space="preserve">9.4</t>
    </r>
    <r>
      <rPr>
        <sz val="11"/>
        <color theme="1"/>
        <rFont val="Noto Sans CJK SC"/>
        <family val="2"/>
      </rPr>
      <t xml:space="preserve">㎡ 공제 </t>
    </r>
    <r>
      <rPr>
        <sz val="11"/>
        <color theme="1"/>
        <rFont val="Arial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내역 단상 </t>
    </r>
    <r>
      <rPr>
        <sz val="11"/>
        <color theme="1"/>
        <rFont val="Arial"/>
        <family val="0"/>
        <charset val="1"/>
      </rPr>
      <t xml:space="preserve">6000x1200=7.2</t>
    </r>
    <r>
      <rPr>
        <sz val="11"/>
        <color theme="1"/>
        <rFont val="Noto Sans CJK SC"/>
        <family val="2"/>
      </rPr>
      <t xml:space="preserve">㎡</t>
    </r>
    <r>
      <rPr>
        <sz val="11"/>
        <color theme="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</si>
  <si>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타일카펫 깔기 </t>
    </r>
    <r>
      <rPr>
        <sz val="11"/>
        <color theme="1"/>
        <rFont val="Arial"/>
        <family val="0"/>
        <charset val="1"/>
      </rPr>
      <t xml:space="preserve">[CT-02]</t>
    </r>
  </si>
  <si>
    <r>
      <rPr>
        <sz val="11"/>
        <color theme="1"/>
        <rFont val="Noto Sans CJK SC"/>
        <family val="2"/>
      </rPr>
      <t xml:space="preserve">타일카펫 깔기 </t>
    </r>
    <r>
      <rPr>
        <sz val="11"/>
        <color theme="1"/>
        <rFont val="Arial"/>
        <family val="0"/>
        <charset val="1"/>
      </rPr>
      <t xml:space="preserve">[CT-03]</t>
    </r>
  </si>
  <si>
    <r>
      <rPr>
        <sz val="11"/>
        <color theme="1"/>
        <rFont val="Noto Sans CJK SC"/>
        <family val="2"/>
      </rPr>
      <t xml:space="preserve">타일카펫 깔기 </t>
    </r>
    <r>
      <rPr>
        <sz val="11"/>
        <color theme="1"/>
        <rFont val="Arial"/>
        <family val="0"/>
        <charset val="1"/>
      </rPr>
      <t xml:space="preserve">[CT-04]</t>
    </r>
  </si>
  <si>
    <t xml:space="preserve">타일카펫</t>
  </si>
  <si>
    <r>
      <rPr>
        <sz val="11"/>
        <color theme="1"/>
        <rFont val="Noto Sans CJK SC"/>
        <family val="2"/>
      </rPr>
      <t xml:space="preserve">도면 범례</t>
    </r>
    <r>
      <rPr>
        <sz val="11"/>
        <color theme="1"/>
        <rFont val="Arial"/>
        <family val="0"/>
        <charset val="1"/>
      </rPr>
      <t xml:space="preserve">·MATERIAL LIST</t>
    </r>
    <r>
      <rPr>
        <sz val="11"/>
        <color theme="1"/>
        <rFont val="Noto Sans CJK SC"/>
        <family val="2"/>
      </rPr>
      <t xml:space="preserve">에 없는 코드</t>
    </r>
    <r>
      <rPr>
        <sz val="11"/>
        <color theme="1"/>
        <rFont val="Arial"/>
        <family val="0"/>
        <charset val="1"/>
      </rPr>
      <t xml:space="preserve">. </t>
    </r>
    <r>
      <rPr>
        <sz val="11"/>
        <color theme="1"/>
        <rFont val="Noto Sans CJK SC"/>
        <family val="2"/>
      </rPr>
      <t xml:space="preserve">내역 </t>
    </r>
    <r>
      <rPr>
        <sz val="11"/>
        <color theme="1"/>
        <rFont val="Arial"/>
        <family val="0"/>
        <charset val="1"/>
      </rPr>
      <t xml:space="preserve">CT </t>
    </r>
    <r>
      <rPr>
        <sz val="11"/>
        <color theme="1"/>
        <rFont val="Noto Sans CJK SC"/>
        <family val="2"/>
      </rPr>
      <t xml:space="preserve">번호 체계가 도면과 달라</t>
    </r>
    <r>
      <rPr>
        <sz val="11"/>
        <color theme="1"/>
        <rFont val="Arial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내역 </t>
    </r>
    <r>
      <rPr>
        <sz val="11"/>
        <color theme="1"/>
        <rFont val="Arial"/>
        <family val="0"/>
        <charset val="1"/>
      </rPr>
      <t xml:space="preserve">CT-01 101</t>
    </r>
    <r>
      <rPr>
        <sz val="11"/>
        <color theme="1"/>
        <rFont val="Noto Sans CJK SC"/>
        <family val="2"/>
      </rPr>
      <t xml:space="preserve">㎡ </t>
    </r>
    <r>
      <rPr>
        <sz val="11"/>
        <color theme="1"/>
        <rFont val="Arial"/>
        <family val="0"/>
        <charset val="1"/>
      </rPr>
      <t xml:space="preserve">&lt; </t>
    </r>
    <r>
      <rPr>
        <sz val="11"/>
        <color theme="1"/>
        <rFont val="Noto Sans CJK SC"/>
        <family val="2"/>
      </rPr>
      <t xml:space="preserve">도면 </t>
    </r>
    <r>
      <rPr>
        <sz val="11"/>
        <color theme="1"/>
        <rFont val="Arial"/>
        <family val="0"/>
        <charset val="1"/>
      </rPr>
      <t xml:space="preserve">CT-01</t>
    </r>
    <r>
      <rPr>
        <sz val="11"/>
        <color theme="1"/>
        <rFont val="Noto Sans CJK SC"/>
        <family val="2"/>
      </rPr>
      <t xml:space="preserve">인 </t>
    </r>
    <r>
      <rPr>
        <sz val="11"/>
        <color theme="1"/>
        <rFont val="Arial"/>
        <family val="0"/>
        <charset val="1"/>
      </rPr>
      <t xml:space="preserve">B1 </t>
    </r>
    <r>
      <rPr>
        <sz val="11"/>
        <color theme="1"/>
        <rFont val="Noto Sans CJK SC"/>
        <family val="2"/>
      </rPr>
      <t xml:space="preserve">대회의실 </t>
    </r>
    <r>
      <rPr>
        <sz val="11"/>
        <color theme="1"/>
        <rFont val="Arial"/>
        <family val="0"/>
        <charset val="1"/>
      </rPr>
      <t xml:space="preserve">135</t>
    </r>
    <r>
      <rPr>
        <sz val="11"/>
        <color theme="1"/>
        <rFont val="Noto Sans CJK SC"/>
        <family val="2"/>
      </rPr>
      <t xml:space="preserve">㎡</t>
    </r>
    <r>
      <rPr>
        <sz val="11"/>
        <color theme="1"/>
        <rFont val="Arial"/>
        <family val="0"/>
        <charset val="1"/>
      </rPr>
      <t xml:space="preserve">) </t>
    </r>
    <r>
      <rPr>
        <sz val="11"/>
        <color theme="1"/>
        <rFont val="Noto Sans CJK SC"/>
        <family val="2"/>
      </rPr>
      <t xml:space="preserve">코드별 대조 불가 → 아래 종류별 대조 참고</t>
    </r>
  </si>
  <si>
    <r>
      <rPr>
        <sz val="11"/>
        <color theme="1"/>
        <rFont val="Noto Sans CJK SC"/>
        <family val="2"/>
      </rPr>
      <t xml:space="preserve">타일카펫 깔기 </t>
    </r>
    <r>
      <rPr>
        <sz val="11"/>
        <color theme="1"/>
        <rFont val="Arial"/>
        <family val="0"/>
        <charset val="1"/>
      </rPr>
      <t xml:space="preserve">[CT-05]</t>
    </r>
  </si>
  <si>
    <t xml:space="preserve">바닥 마감 소계</t>
  </si>
  <si>
    <r>
      <rPr>
        <sz val="11"/>
        <color theme="1"/>
        <rFont val="Noto Sans CJK SC"/>
        <family val="2"/>
      </rPr>
      <t xml:space="preserve">참고</t>
    </r>
    <r>
      <rPr>
        <sz val="11"/>
        <color theme="1"/>
        <rFont val="Arial"/>
        <family val="0"/>
        <charset val="1"/>
      </rPr>
      <t xml:space="preserve">: </t>
    </r>
    <r>
      <rPr>
        <sz val="11"/>
        <color theme="1"/>
        <rFont val="Noto Sans CJK SC"/>
        <family val="2"/>
      </rPr>
      <t xml:space="preserve">내역서 </t>
    </r>
    <r>
      <rPr>
        <sz val="11"/>
        <color theme="1"/>
        <rFont val="Arial"/>
        <family val="0"/>
        <charset val="1"/>
      </rPr>
      <t xml:space="preserve">'</t>
    </r>
    <r>
      <rPr>
        <sz val="11"/>
        <color theme="1"/>
        <rFont val="Noto Sans CJK SC"/>
        <family val="2"/>
      </rPr>
      <t xml:space="preserve">기존면바탕정리</t>
    </r>
    <r>
      <rPr>
        <sz val="11"/>
        <color theme="1"/>
        <rFont val="Arial"/>
        <family val="0"/>
        <charset val="1"/>
      </rPr>
      <t xml:space="preserve">(</t>
    </r>
    <r>
      <rPr>
        <sz val="11"/>
        <color theme="1"/>
        <rFont val="Noto Sans CJK SC"/>
        <family val="2"/>
      </rPr>
      <t xml:space="preserve">바닥</t>
    </r>
    <r>
      <rPr>
        <sz val="11"/>
        <color theme="1"/>
        <rFont val="Arial"/>
        <family val="0"/>
        <charset val="1"/>
      </rPr>
      <t xml:space="preserve">)' 1,324</t>
    </r>
    <r>
      <rPr>
        <sz val="11"/>
        <color theme="1"/>
        <rFont val="Noto Sans CJK SC"/>
        <family val="2"/>
      </rPr>
      <t xml:space="preserve">㎡ ≈ 바닥재 합 </t>
    </r>
    <r>
      <rPr>
        <sz val="11"/>
        <color theme="1"/>
        <rFont val="Arial"/>
        <family val="0"/>
        <charset val="1"/>
      </rPr>
      <t xml:space="preserve">1,323</t>
    </r>
    <r>
      <rPr>
        <sz val="11"/>
        <color theme="1"/>
        <rFont val="Noto Sans CJK SC"/>
        <family val="2"/>
      </rPr>
      <t xml:space="preserve">㎡ → 내역 수량은 정미량</t>
    </r>
  </si>
  <si>
    <r>
      <rPr>
        <sz val="11"/>
        <color theme="1"/>
        <rFont val="Noto Sans CJK SC"/>
        <family val="2"/>
      </rPr>
      <t xml:space="preserve">걸레받이 설치 </t>
    </r>
    <r>
      <rPr>
        <sz val="11"/>
        <color theme="1"/>
        <rFont val="Arial"/>
        <family val="0"/>
        <charset val="1"/>
      </rPr>
      <t xml:space="preserve">- MDF+</t>
    </r>
    <r>
      <rPr>
        <sz val="11"/>
        <color theme="1"/>
        <rFont val="Noto Sans CJK SC"/>
        <family val="2"/>
      </rPr>
      <t xml:space="preserve">인테리어필름</t>
    </r>
  </si>
  <si>
    <r>
      <rPr>
        <sz val="11"/>
        <color theme="1"/>
        <rFont val="Arial"/>
        <family val="0"/>
        <charset val="1"/>
      </rPr>
      <t xml:space="preserve">T=9, H=30 (</t>
    </r>
    <r>
      <rPr>
        <sz val="11"/>
        <color theme="1"/>
        <rFont val="Noto Sans CJK SC"/>
        <family val="2"/>
      </rPr>
      <t xml:space="preserve">내역서 규격</t>
    </r>
    <r>
      <rPr>
        <sz val="11"/>
        <color theme="1"/>
        <rFont val="Arial"/>
        <family val="0"/>
        <charset val="1"/>
      </rPr>
      <t xml:space="preserve">)</t>
    </r>
  </si>
  <si>
    <t xml:space="preserve">M</t>
  </si>
  <si>
    <r>
      <rPr>
        <sz val="11"/>
        <color theme="1"/>
        <rFont val="Noto Sans CJK SC"/>
        <family val="2"/>
      </rPr>
      <t xml:space="preserve">미해결</t>
    </r>
    <r>
      <rPr>
        <sz val="11"/>
        <color theme="1"/>
        <rFont val="Arial"/>
        <family val="0"/>
        <charset val="1"/>
      </rPr>
      <t xml:space="preserve">: AI </t>
    </r>
    <r>
      <rPr>
        <sz val="11"/>
        <color theme="1"/>
        <rFont val="Noto Sans CJK SC"/>
        <family val="2"/>
      </rPr>
      <t xml:space="preserve">산출이 내역 대비 약 </t>
    </r>
    <r>
      <rPr>
        <sz val="11"/>
        <color theme="1"/>
        <rFont val="Arial"/>
        <family val="0"/>
        <charset val="1"/>
      </rPr>
      <t xml:space="preserve">-40%. </t>
    </r>
    <r>
      <rPr>
        <sz val="11"/>
        <color theme="1"/>
        <rFont val="Noto Sans CJK SC"/>
        <family val="2"/>
      </rPr>
      <t xml:space="preserve">열린 사무실</t>
    </r>
    <r>
      <rPr>
        <sz val="11"/>
        <color theme="1"/>
        <rFont val="Arial"/>
        <family val="0"/>
        <charset val="1"/>
      </rPr>
      <t xml:space="preserve">·</t>
    </r>
    <r>
      <rPr>
        <sz val="11"/>
        <color theme="1"/>
        <rFont val="Noto Sans CJK SC"/>
        <family val="2"/>
      </rPr>
      <t xml:space="preserve">복도 둘레</t>
    </r>
    <r>
      <rPr>
        <sz val="11"/>
        <color theme="1"/>
        <rFont val="Arial"/>
        <family val="0"/>
        <charset val="1"/>
      </rPr>
      <t xml:space="preserve">, </t>
    </r>
    <r>
      <rPr>
        <sz val="11"/>
        <color theme="1"/>
        <rFont val="Noto Sans CJK SC"/>
        <family val="2"/>
      </rPr>
      <t xml:space="preserve">가구 뒤</t>
    </r>
    <r>
      <rPr>
        <sz val="11"/>
        <color theme="1"/>
        <rFont val="Arial"/>
        <family val="0"/>
        <charset val="1"/>
      </rPr>
      <t xml:space="preserve">, </t>
    </r>
    <r>
      <rPr>
        <sz val="11"/>
        <color theme="1"/>
        <rFont val="Noto Sans CJK SC"/>
        <family val="2"/>
      </rPr>
      <t xml:space="preserve">기둥 둘레 처리 기준 확인 필요</t>
    </r>
  </si>
  <si>
    <r>
      <rPr>
        <b val="true"/>
        <sz val="11"/>
        <rFont val="Noto Sans CJK SC"/>
        <family val="2"/>
      </rPr>
      <t xml:space="preserve">자재 종류별 대조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코드 번호 체계 차이를 피해서 비교</t>
    </r>
    <r>
      <rPr>
        <b val="true"/>
        <sz val="11"/>
        <rFont val="Arial"/>
        <family val="0"/>
        <charset val="1"/>
      </rPr>
      <t xml:space="preserve">)</t>
    </r>
  </si>
  <si>
    <t xml:space="preserve">종류</t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</si>
  <si>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산출</t>
    </r>
  </si>
  <si>
    <t xml:space="preserve">내역서</t>
  </si>
  <si>
    <r>
      <rPr>
        <b val="true"/>
        <sz val="11"/>
        <color rgb="FFFFFFFF"/>
        <rFont val="Noto Sans CJK SC"/>
        <family val="2"/>
      </rPr>
      <t xml:space="preserve">도면</t>
    </r>
    <r>
      <rPr>
        <b val="true"/>
        <sz val="11"/>
        <color rgb="FFFFFFFF"/>
        <rFont val="Arial"/>
        <family val="0"/>
        <charset val="1"/>
      </rPr>
      <t xml:space="preserve">-</t>
    </r>
    <r>
      <rPr>
        <b val="true"/>
        <sz val="11"/>
        <color rgb="FFFFFFFF"/>
        <rFont val="Noto Sans CJK SC"/>
        <family val="2"/>
      </rPr>
      <t xml:space="preserve">내역 차이</t>
    </r>
  </si>
  <si>
    <t xml:space="preserve">해석</t>
  </si>
  <si>
    <r>
      <rPr>
        <sz val="11"/>
        <rFont val="Arial"/>
        <family val="0"/>
        <charset val="1"/>
      </rPr>
      <t xml:space="preserve">DE </t>
    </r>
    <r>
      <rPr>
        <sz val="11"/>
        <rFont val="Noto Sans CJK SC"/>
        <family val="2"/>
      </rPr>
      <t xml:space="preserve">디럭스타일</t>
    </r>
  </si>
  <si>
    <r>
      <rPr>
        <sz val="11"/>
        <rFont val="Noto Sans CJK SC"/>
        <family val="2"/>
      </rPr>
      <t xml:space="preserve">도면이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㎡ 많음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태그 해석 차이</t>
    </r>
    <r>
      <rPr>
        <sz val="11"/>
        <rFont val="Arial"/>
        <family val="0"/>
        <charset val="1"/>
      </rPr>
      <t xml:space="preserve">(2F </t>
    </r>
    <r>
      <rPr>
        <sz val="11"/>
        <rFont val="Noto Sans CJK SC"/>
        <family val="2"/>
      </rPr>
      <t xml:space="preserve">금고 </t>
    </r>
    <r>
      <rPr>
        <sz val="11"/>
        <rFont val="Arial"/>
        <family val="0"/>
        <charset val="1"/>
      </rPr>
      <t xml:space="preserve">P-TILE </t>
    </r>
    <r>
      <rPr>
        <sz val="11"/>
        <rFont val="Noto Sans CJK SC"/>
        <family val="2"/>
      </rPr>
      <t xml:space="preserve">문구 등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</si>
  <si>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DT </t>
    </r>
    <r>
      <rPr>
        <sz val="11"/>
        <rFont val="Noto Sans CJK SC"/>
        <family val="2"/>
      </rPr>
      <t xml:space="preserve">데코타일</t>
    </r>
  </si>
  <si>
    <r>
      <rPr>
        <sz val="11"/>
        <rFont val="Noto Sans CJK SC"/>
        <family val="2"/>
      </rPr>
      <t xml:space="preserve">내역이 </t>
    </r>
    <r>
      <rPr>
        <sz val="11"/>
        <rFont val="Arial"/>
        <family val="0"/>
        <charset val="1"/>
      </rPr>
      <t xml:space="preserve">103</t>
    </r>
    <r>
      <rPr>
        <sz val="11"/>
        <rFont val="Noto Sans CJK SC"/>
        <family val="2"/>
      </rPr>
      <t xml:space="preserve">㎡ 많음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무코드 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미표기 구역 포함 추정</t>
    </r>
  </si>
  <si>
    <r>
      <rPr>
        <sz val="11"/>
        <rFont val="Arial"/>
        <family val="0"/>
        <charset val="1"/>
      </rPr>
      <t xml:space="preserve">CT </t>
    </r>
    <r>
      <rPr>
        <sz val="11"/>
        <rFont val="Noto Sans CJK SC"/>
        <family val="2"/>
      </rPr>
      <t xml:space="preserve">타일카펫</t>
    </r>
  </si>
  <si>
    <r>
      <rPr>
        <sz val="11"/>
        <rFont val="Noto Sans CJK SC"/>
        <family val="2"/>
      </rPr>
      <t xml:space="preserve">내역이 </t>
    </r>
    <r>
      <rPr>
        <sz val="11"/>
        <rFont val="Arial"/>
        <family val="0"/>
        <charset val="1"/>
      </rPr>
      <t xml:space="preserve">29</t>
    </r>
    <r>
      <rPr>
        <sz val="11"/>
        <rFont val="Noto Sans CJK SC"/>
        <family val="2"/>
      </rPr>
      <t xml:space="preserve">㎡ 많음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단상 처리 차이 추정</t>
    </r>
  </si>
  <si>
    <r>
      <rPr>
        <b val="true"/>
        <sz val="13"/>
        <rFont val="Noto Sans CJK SC"/>
        <family val="2"/>
      </rPr>
      <t xml:space="preserve">산출근거서 </t>
    </r>
    <r>
      <rPr>
        <b val="true"/>
        <sz val="13"/>
        <rFont val="Arial"/>
        <family val="0"/>
        <charset val="1"/>
      </rPr>
      <t xml:space="preserve">- </t>
    </r>
    <r>
      <rPr>
        <b val="true"/>
        <sz val="13"/>
        <rFont val="Noto Sans CJK SC"/>
        <family val="2"/>
      </rPr>
      <t xml:space="preserve">대한변호사협회 신회관 인테리어 공사 </t>
    </r>
    <r>
      <rPr>
        <b val="true"/>
        <sz val="13"/>
        <rFont val="Arial"/>
        <family val="0"/>
        <charset val="1"/>
      </rPr>
      <t xml:space="preserve">/ </t>
    </r>
    <r>
      <rPr>
        <b val="true"/>
        <sz val="13"/>
        <rFont val="Noto Sans CJK SC"/>
        <family val="2"/>
      </rPr>
      <t xml:space="preserve">바닥 마감 </t>
    </r>
    <r>
      <rPr>
        <b val="true"/>
        <sz val="13"/>
        <rFont val="Arial"/>
        <family val="0"/>
        <charset val="1"/>
      </rPr>
      <t xml:space="preserve">(AI </t>
    </r>
    <r>
      <rPr>
        <b val="true"/>
        <sz val="13"/>
        <rFont val="Noto Sans CJK SC"/>
        <family val="2"/>
      </rPr>
      <t xml:space="preserve">산출 </t>
    </r>
    <r>
      <rPr>
        <b val="true"/>
        <sz val="13"/>
        <rFont val="Arial"/>
        <family val="0"/>
        <charset val="1"/>
      </rPr>
      <t xml:space="preserve">v6)</t>
    </r>
  </si>
  <si>
    <r>
      <rPr>
        <i val="true"/>
        <sz val="11"/>
        <color rgb="FF666666"/>
        <rFont val="Noto Sans CJK SC"/>
        <family val="2"/>
      </rPr>
      <t xml:space="preserve">파란 글씨 </t>
    </r>
    <r>
      <rPr>
        <i val="true"/>
        <sz val="11"/>
        <color rgb="FF666666"/>
        <rFont val="Arial"/>
        <family val="0"/>
        <charset val="1"/>
      </rPr>
      <t xml:space="preserve">= AI</t>
    </r>
    <r>
      <rPr>
        <i val="true"/>
        <sz val="11"/>
        <color rgb="FF666666"/>
        <rFont val="Noto Sans CJK SC"/>
        <family val="2"/>
      </rPr>
      <t xml:space="preserve">가 도면에서 읽은 값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입력값</t>
    </r>
    <r>
      <rPr>
        <i val="true"/>
        <sz val="11"/>
        <color rgb="FF666666"/>
        <rFont val="Arial"/>
        <family val="0"/>
        <charset val="1"/>
      </rPr>
      <t xml:space="preserve">). </t>
    </r>
    <r>
      <rPr>
        <i val="true"/>
        <sz val="11"/>
        <color rgb="FF666666"/>
        <rFont val="Noto Sans CJK SC"/>
        <family val="2"/>
      </rPr>
      <t xml:space="preserve">오차 열은 수식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Noto Sans CJK SC"/>
        <family val="2"/>
      </rPr>
      <t xml:space="preserve">도면 기준 </t>
    </r>
    <r>
      <rPr>
        <i val="true"/>
        <sz val="11"/>
        <color rgb="FF666666"/>
        <rFont val="Arial"/>
        <family val="0"/>
        <charset val="1"/>
      </rPr>
      <t xml:space="preserve">= PDF </t>
    </r>
    <r>
      <rPr>
        <i val="true"/>
        <sz val="11"/>
        <color rgb="FF666666"/>
        <rFont val="Noto Sans CJK SC"/>
        <family val="2"/>
      </rPr>
      <t xml:space="preserve">벡터 정밀 측정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벽으로 닫힌 실만</t>
    </r>
    <r>
      <rPr>
        <i val="true"/>
        <sz val="11"/>
        <color rgb="FF666666"/>
        <rFont val="Arial"/>
        <family val="0"/>
        <charset val="1"/>
      </rPr>
      <t xml:space="preserve">).</t>
    </r>
  </si>
  <si>
    <t xml:space="preserve">No</t>
  </si>
  <si>
    <t xml:space="preserve">층</t>
  </si>
  <si>
    <t xml:space="preserve">실명</t>
  </si>
  <si>
    <t xml:space="preserve">마감코드</t>
  </si>
  <si>
    <r>
      <rPr>
        <b val="true"/>
        <sz val="11"/>
        <color rgb="FFFFFFFF"/>
        <rFont val="Noto Sans CJK SC"/>
        <family val="2"/>
      </rPr>
      <t xml:space="preserve">가로</t>
    </r>
    <r>
      <rPr>
        <b val="true"/>
        <sz val="11"/>
        <color rgb="FFFFFFFF"/>
        <rFont val="Arial"/>
        <family val="0"/>
        <charset val="1"/>
      </rPr>
      <t xml:space="preserve">(mm)</t>
    </r>
  </si>
  <si>
    <r>
      <rPr>
        <b val="true"/>
        <sz val="11"/>
        <color rgb="FFFFFFFF"/>
        <rFont val="Noto Sans CJK SC"/>
        <family val="2"/>
      </rPr>
      <t xml:space="preserve">세로</t>
    </r>
    <r>
      <rPr>
        <b val="true"/>
        <sz val="11"/>
        <color rgb="FFFFFFFF"/>
        <rFont val="Arial"/>
        <family val="0"/>
        <charset val="1"/>
      </rPr>
      <t xml:space="preserve">(mm)</t>
    </r>
  </si>
  <si>
    <r>
      <rPr>
        <b val="true"/>
        <sz val="11"/>
        <color rgb="FFFFFFFF"/>
        <rFont val="Noto Sans CJK SC"/>
        <family val="2"/>
      </rPr>
      <t xml:space="preserve">면적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㎡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</si>
  <si>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걸레받이</t>
    </r>
    <r>
      <rPr>
        <b val="true"/>
        <sz val="11"/>
        <color rgb="FFFFFFFF"/>
        <rFont val="Arial"/>
        <family val="0"/>
        <charset val="1"/>
      </rPr>
      <t xml:space="preserve">(m)</t>
    </r>
  </si>
  <si>
    <r>
      <rPr>
        <b val="true"/>
        <sz val="11"/>
        <color rgb="FFFFFFFF"/>
        <rFont val="Noto Sans CJK SC"/>
        <family val="2"/>
      </rPr>
      <t xml:space="preserve">산출 근거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도면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치수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</si>
  <si>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신뢰도</t>
  </si>
  <si>
    <t xml:space="preserve">검토 기록</t>
  </si>
  <si>
    <r>
      <rPr>
        <b val="true"/>
        <sz val="11"/>
        <color rgb="FFFFFFFF"/>
        <rFont val="Noto Sans CJK SC"/>
        <family val="2"/>
      </rPr>
      <t xml:space="preserve">도면 기준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㎡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</si>
  <si>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오차</t>
    </r>
    <r>
      <rPr>
        <b val="true"/>
        <sz val="11"/>
        <color rgb="FFFFFFFF"/>
        <rFont val="Arial"/>
        <family val="0"/>
        <charset val="1"/>
      </rPr>
      <t xml:space="preserve">(%)</t>
    </r>
  </si>
  <si>
    <t xml:space="preserve">B1</t>
  </si>
  <si>
    <t xml:space="preserve">다목적 대회의실</t>
  </si>
  <si>
    <t xml:space="preserve">CT-01</t>
  </si>
  <si>
    <r>
      <rPr>
        <sz val="11"/>
        <rFont val="Arial"/>
        <family val="0"/>
        <charset val="1"/>
      </rPr>
      <t xml:space="preserve">B1_dimension_SE: 11450(</t>
    </r>
    <r>
      <rPr>
        <sz val="11"/>
        <rFont val="Noto Sans CJK SC"/>
        <family val="2"/>
      </rPr>
      <t xml:space="preserve">안목 직전 성벽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동측벽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에서 신설 차음벽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점선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위치 </t>
    </r>
    <r>
      <rPr>
        <sz val="11"/>
        <rFont val="Arial"/>
        <family val="0"/>
        <charset val="1"/>
      </rPr>
      <t xml:space="preserve">offset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290 </t>
    </r>
    <r>
      <rPr>
        <sz val="11"/>
        <rFont val="Noto Sans CJK SC"/>
        <family val="2"/>
      </rPr>
      <t xml:space="preserve">공제 </t>
    </r>
    <r>
      <rPr>
        <sz val="11"/>
        <rFont val="Arial"/>
        <family val="0"/>
        <charset val="1"/>
      </rPr>
      <t xml:space="preserve">=&gt; w=11160; B1_material_NE: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'12000' </t>
    </r>
    <r>
      <rPr>
        <sz val="11"/>
        <rFont val="Noto Sans CJK SC"/>
        <family val="2"/>
      </rPr>
      <t xml:space="preserve">숫자 사용 </t>
    </r>
    <r>
      <rPr>
        <sz val="11"/>
        <rFont val="Arial"/>
        <family val="0"/>
        <charset val="1"/>
      </rPr>
      <t xml:space="preserve">d=12000. 11.16x12.0=133.92. R2: </t>
    </r>
    <r>
      <rPr>
        <sz val="11"/>
        <rFont val="Noto Sans CJK SC"/>
        <family val="2"/>
      </rPr>
      <t xml:space="preserve">독립기둥 약</t>
    </r>
    <r>
      <rPr>
        <sz val="11"/>
        <rFont val="Arial"/>
        <family val="0"/>
        <charset val="1"/>
      </rPr>
      <t xml:space="preserve">0.77x0.58=0.45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단상</t>
    </r>
    <r>
      <rPr>
        <sz val="11"/>
        <rFont val="Arial"/>
        <family val="0"/>
        <charset val="1"/>
      </rPr>
      <t xml:space="preserve">(APP' WOOD FLOORING, </t>
    </r>
    <r>
      <rPr>
        <sz val="11"/>
        <rFont val="Noto Sans CJK SC"/>
        <family val="2"/>
      </rPr>
      <t xml:space="preserve">카펫 아님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6.24x1.51=9.4(</t>
    </r>
    <r>
      <rPr>
        <sz val="11"/>
        <rFont val="Noto Sans CJK SC"/>
        <family val="2"/>
      </rPr>
      <t xml:space="preserve">도면 비례 추정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둘레</t>
    </r>
    <r>
      <rPr>
        <sz val="11"/>
        <rFont val="Arial"/>
        <family val="0"/>
        <charset val="1"/>
      </rPr>
      <t xml:space="preserve">46.32-</t>
    </r>
    <r>
      <rPr>
        <sz val="11"/>
        <rFont val="Noto Sans CJK SC"/>
        <family val="2"/>
      </rPr>
      <t xml:space="preserve">남측 쌍여닫이 </t>
    </r>
    <r>
      <rPr>
        <sz val="11"/>
        <rFont val="Arial"/>
        <family val="0"/>
        <charset val="1"/>
      </rPr>
      <t xml:space="preserve">1940(B1_dimension_SE '1940')-</t>
    </r>
    <r>
      <rPr>
        <sz val="11"/>
        <rFont val="Noto Sans CJK SC"/>
        <family val="2"/>
      </rPr>
      <t xml:space="preserve">서측문 </t>
    </r>
    <r>
      <rPr>
        <sz val="11"/>
        <rFont val="Arial"/>
        <family val="0"/>
        <charset val="1"/>
      </rPr>
      <t xml:space="preserve">0.9-0.98-</t>
    </r>
    <r>
      <rPr>
        <sz val="11"/>
        <rFont val="Noto Sans CJK SC"/>
        <family val="2"/>
      </rPr>
      <t xml:space="preserve">단상 정면 </t>
    </r>
    <r>
      <rPr>
        <sz val="11"/>
        <rFont val="Arial"/>
        <family val="0"/>
        <charset val="1"/>
      </rPr>
      <t xml:space="preserve">6.24=36.26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둘레 </t>
    </r>
    <r>
      <rPr>
        <sz val="11"/>
        <rFont val="Arial"/>
        <family val="0"/>
        <charset val="1"/>
      </rPr>
      <t xml:space="preserve">2*(11.16+12.0)=46.32 - </t>
    </r>
    <r>
      <rPr>
        <sz val="11"/>
        <rFont val="Noto Sans CJK SC"/>
        <family val="2"/>
      </rPr>
      <t xml:space="preserve">남측 쌍여닫이 </t>
    </r>
    <r>
      <rPr>
        <sz val="11"/>
        <rFont val="Arial"/>
        <family val="0"/>
        <charset val="1"/>
      </rPr>
      <t xml:space="preserve">1.94 - </t>
    </r>
    <r>
      <rPr>
        <sz val="11"/>
        <rFont val="Noto Sans CJK SC"/>
        <family val="2"/>
      </rPr>
      <t xml:space="preserve">단상 정면 </t>
    </r>
    <r>
      <rPr>
        <sz val="11"/>
        <rFont val="Arial"/>
        <family val="0"/>
        <charset val="1"/>
      </rPr>
      <t xml:space="preserve">6.24 = 38.14. </t>
    </r>
    <r>
      <rPr>
        <sz val="11"/>
        <rFont val="Noto Sans CJK SC"/>
        <family val="2"/>
      </rPr>
      <t xml:space="preserve">서측 차음벽 문 공제 삭제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안목</t>
    </r>
    <r>
      <rPr>
        <sz val="11"/>
        <rFont val="Arial"/>
        <family val="0"/>
        <charset val="1"/>
      </rPr>
      <t xml:space="preserve">: 11450(</t>
    </r>
    <r>
      <rPr>
        <sz val="11"/>
        <rFont val="Noto Sans CJK SC"/>
        <family val="2"/>
      </rPr>
      <t xml:space="preserve">코어벽</t>
    </r>
    <r>
      <rPr>
        <sz val="11"/>
        <rFont val="Arial"/>
        <family val="0"/>
        <charset val="1"/>
      </rPr>
      <t xml:space="preserve">~D.A</t>
    </r>
    <r>
      <rPr>
        <sz val="11"/>
        <rFont val="Noto Sans CJK SC"/>
        <family val="2"/>
      </rPr>
      <t xml:space="preserve">벽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에서 차음벽 점선 </t>
    </r>
    <r>
      <rPr>
        <sz val="11"/>
        <rFont val="Arial"/>
        <family val="0"/>
        <charset val="1"/>
      </rPr>
      <t xml:space="preserve">offset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240~290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(R1)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v4 </t>
    </r>
    <r>
      <rPr>
        <sz val="11"/>
        <rFont val="Noto Sans CJK SC"/>
        <family val="2"/>
      </rPr>
      <t xml:space="preserve">유지</t>
    </r>
    <r>
      <rPr>
        <sz val="11"/>
        <rFont val="Arial"/>
        <family val="0"/>
        <charset val="1"/>
      </rPr>
      <t xml:space="preserve">.</t>
    </r>
  </si>
  <si>
    <t xml:space="preserve">mid</t>
  </si>
  <si>
    <r>
      <rPr>
        <sz val="11"/>
        <rFont val="Noto Sans CJK SC"/>
        <family val="2"/>
      </rPr>
      <t xml:space="preserve">걸레받이 수정 </t>
    </r>
    <r>
      <rPr>
        <sz val="11"/>
        <rFont val="Arial"/>
        <family val="0"/>
        <charset val="1"/>
      </rPr>
      <t xml:space="preserve">36.26-&gt;38.14,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124.11-&gt;124.05. v4</t>
    </r>
    <r>
      <rPr>
        <sz val="11"/>
        <rFont val="Noto Sans CJK SC"/>
        <family val="2"/>
      </rPr>
      <t xml:space="preserve">가 서측 문 </t>
    </r>
    <r>
      <rPr>
        <sz val="11"/>
        <rFont val="Arial"/>
        <family val="0"/>
        <charset val="1"/>
      </rPr>
      <t xml:space="preserve">0.9+0.98</t>
    </r>
    <r>
      <rPr>
        <sz val="11"/>
        <rFont val="Noto Sans CJK SC"/>
        <family val="2"/>
      </rPr>
      <t xml:space="preserve">을 공제했으나 그 문들은 </t>
    </r>
    <r>
      <rPr>
        <sz val="11"/>
        <rFont val="Arial"/>
        <family val="0"/>
        <charset val="1"/>
      </rPr>
      <t xml:space="preserve">B1_material_NE </t>
    </r>
    <r>
      <rPr>
        <sz val="11"/>
        <rFont val="Noto Sans CJK SC"/>
        <family val="2"/>
      </rPr>
      <t xml:space="preserve">의 법률구조재단</t>
    </r>
    <r>
      <rPr>
        <sz val="11"/>
        <rFont val="Arial"/>
        <family val="0"/>
        <charset val="1"/>
      </rPr>
      <t xml:space="preserve">/ELE'V HALL </t>
    </r>
    <r>
      <rPr>
        <sz val="11"/>
        <rFont val="Noto Sans CJK SC"/>
        <family val="2"/>
      </rPr>
      <t xml:space="preserve">쪽 문이고 대회의실 서측 차음벽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점선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에는 문이 없음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대회의실 출입문은 남측 쌍여닫이 </t>
    </r>
    <r>
      <rPr>
        <sz val="11"/>
        <rFont val="Arial"/>
        <family val="0"/>
        <charset val="1"/>
      </rPr>
      <t xml:space="preserve">1940 </t>
    </r>
    <r>
      <rPr>
        <sz val="11"/>
        <rFont val="Noto Sans CJK SC"/>
        <family val="2"/>
      </rPr>
      <t xml:space="preserve">하나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면적은 </t>
    </r>
    <r>
      <rPr>
        <sz val="11"/>
        <rFont val="Arial"/>
        <family val="0"/>
        <charset val="1"/>
      </rPr>
      <t xml:space="preserve">11.16x12.0-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0.45-</t>
    </r>
    <r>
      <rPr>
        <sz val="11"/>
        <rFont val="Noto Sans CJK SC"/>
        <family val="2"/>
      </rPr>
      <t xml:space="preserve">단상 </t>
    </r>
    <r>
      <rPr>
        <sz val="11"/>
        <rFont val="Arial"/>
        <family val="0"/>
        <charset val="1"/>
      </rPr>
      <t xml:space="preserve">6.24x1.51(9.42)=124.05</t>
    </r>
    <r>
      <rPr>
        <sz val="11"/>
        <rFont val="Noto Sans CJK SC"/>
        <family val="2"/>
      </rPr>
      <t xml:space="preserve">로 재계산</t>
    </r>
    <r>
      <rPr>
        <sz val="11"/>
        <rFont val="Arial"/>
        <family val="0"/>
        <charset val="1"/>
      </rPr>
      <t xml:space="preserve">. | v6: B1</t>
    </r>
    <r>
      <rPr>
        <sz val="11"/>
        <rFont val="Noto Sans CJK SC"/>
        <family val="2"/>
      </rPr>
      <t xml:space="preserve">은 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커튼월 접면 없음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동측 </t>
    </r>
    <r>
      <rPr>
        <sz val="11"/>
        <rFont val="Arial"/>
        <family val="0"/>
        <charset val="1"/>
      </rPr>
      <t xml:space="preserve">D.A</t>
    </r>
    <r>
      <rPr>
        <sz val="11"/>
        <rFont val="Noto Sans CJK SC"/>
        <family val="2"/>
      </rPr>
      <t xml:space="preserve">는 벽 바깥 선큰</t>
    </r>
    <r>
      <rPr>
        <sz val="11"/>
        <rFont val="Arial"/>
        <family val="0"/>
        <charset val="1"/>
      </rPr>
      <t xml:space="preserve">, 11450 </t>
    </r>
    <r>
      <rPr>
        <sz val="11"/>
        <rFont val="Noto Sans CJK SC"/>
        <family val="2"/>
      </rPr>
      <t xml:space="preserve">치수가 벽 안쪽까지</t>
    </r>
    <r>
      <rPr>
        <sz val="11"/>
        <rFont val="Arial"/>
        <family val="0"/>
        <charset val="1"/>
      </rPr>
      <t xml:space="preserve">) -&gt; </t>
    </r>
    <r>
      <rPr>
        <sz val="11"/>
        <rFont val="Noto Sans CJK SC"/>
        <family val="2"/>
      </rPr>
      <t xml:space="preserve">띠 없음</t>
    </r>
    <r>
      <rPr>
        <sz val="11"/>
        <rFont val="Arial"/>
        <family val="0"/>
        <charset val="1"/>
      </rPr>
      <t xml:space="preserve">, v5 </t>
    </r>
    <r>
      <rPr>
        <sz val="11"/>
        <rFont val="Noto Sans CJK SC"/>
        <family val="2"/>
      </rPr>
      <t xml:space="preserve">유지</t>
    </r>
  </si>
  <si>
    <t xml:space="preserve">서고</t>
  </si>
  <si>
    <t xml:space="preserve">DE-01</t>
  </si>
  <si>
    <r>
      <rPr>
        <sz val="11"/>
        <rFont val="Arial"/>
        <family val="0"/>
        <charset val="1"/>
      </rPr>
      <t xml:space="preserve">B1_dimension_NW: </t>
    </r>
    <r>
      <rPr>
        <sz val="11"/>
        <rFont val="Noto Sans CJK SC"/>
        <family val="2"/>
      </rPr>
      <t xml:space="preserve">서고 실치수 숫자 없음 </t>
    </r>
    <r>
      <rPr>
        <sz val="11"/>
        <rFont val="Arial"/>
        <family val="0"/>
        <charset val="1"/>
      </rPr>
      <t xml:space="preserve">-&gt; grid 7800(1</t>
    </r>
    <r>
      <rPr>
        <sz val="11"/>
        <rFont val="Noto Sans CJK SC"/>
        <family val="2"/>
      </rPr>
      <t xml:space="preserve">열</t>
    </r>
    <r>
      <rPr>
        <sz val="11"/>
        <rFont val="Arial"/>
        <family val="0"/>
        <charset val="1"/>
      </rPr>
      <t xml:space="preserve">~2</t>
    </r>
    <r>
      <rPr>
        <sz val="11"/>
        <rFont val="Noto Sans CJK SC"/>
        <family val="2"/>
      </rPr>
      <t xml:space="preserve">열 사이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사용</t>
    </r>
    <r>
      <rPr>
        <sz val="11"/>
        <rFont val="Arial"/>
        <family val="0"/>
        <charset val="1"/>
      </rPr>
      <t xml:space="preserve">. R1: </t>
    </r>
    <r>
      <rPr>
        <sz val="11"/>
        <rFont val="Noto Sans CJK SC"/>
        <family val="2"/>
      </rPr>
      <t xml:space="preserve">좌측 외벽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마감 약</t>
    </r>
    <r>
      <rPr>
        <sz val="11"/>
        <rFont val="Arial"/>
        <family val="0"/>
        <charset val="1"/>
      </rPr>
      <t xml:space="preserve">460, </t>
    </r>
    <r>
      <rPr>
        <sz val="11"/>
        <rFont val="Noto Sans CJK SC"/>
        <family val="2"/>
      </rPr>
      <t xml:space="preserve">우측 </t>
    </r>
    <r>
      <rPr>
        <sz val="11"/>
        <rFont val="Arial"/>
        <family val="0"/>
        <charset val="1"/>
      </rPr>
      <t xml:space="preserve">CAR LIFT</t>
    </r>
    <r>
      <rPr>
        <sz val="11"/>
        <rFont val="Noto Sans CJK SC"/>
        <family val="2"/>
      </rPr>
      <t xml:space="preserve">벽 약</t>
    </r>
    <r>
      <rPr>
        <sz val="11"/>
        <rFont val="Arial"/>
        <family val="0"/>
        <charset val="1"/>
      </rPr>
      <t xml:space="preserve">410 </t>
    </r>
    <r>
      <rPr>
        <sz val="11"/>
        <rFont val="Noto Sans CJK SC"/>
        <family val="2"/>
      </rPr>
      <t xml:space="preserve">공제 </t>
    </r>
    <r>
      <rPr>
        <sz val="11"/>
        <rFont val="Arial"/>
        <family val="0"/>
        <charset val="1"/>
      </rPr>
      <t xml:space="preserve">=&gt; w=7800-460-410=6930. </t>
    </r>
    <r>
      <rPr>
        <sz val="11"/>
        <rFont val="Noto Sans CJK SC"/>
        <family val="2"/>
      </rPr>
      <t xml:space="preserve">깊이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상부 그리드</t>
    </r>
    <r>
      <rPr>
        <sz val="11"/>
        <rFont val="Arial"/>
        <family val="0"/>
        <charset val="1"/>
      </rPr>
      <t xml:space="preserve">(0)~</t>
    </r>
    <r>
      <rPr>
        <sz val="11"/>
        <rFont val="Noto Sans CJK SC"/>
        <family val="2"/>
      </rPr>
      <t xml:space="preserve">방송실 칸막이 중심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5020, 7300 </t>
    </r>
    <r>
      <rPr>
        <sz val="11"/>
        <rFont val="Noto Sans CJK SC"/>
        <family val="2"/>
      </rPr>
      <t xml:space="preserve">그리드 비례</t>
    </r>
    <r>
      <rPr>
        <sz val="11"/>
        <rFont val="Arial"/>
        <family val="0"/>
        <charset val="1"/>
      </rPr>
      <t xml:space="preserve">) - </t>
    </r>
    <r>
      <rPr>
        <sz val="11"/>
        <rFont val="Noto Sans CJK SC"/>
        <family val="2"/>
      </rPr>
      <t xml:space="preserve">상부벽 </t>
    </r>
    <r>
      <rPr>
        <sz val="11"/>
        <rFont val="Arial"/>
        <family val="0"/>
        <charset val="1"/>
      </rPr>
      <t xml:space="preserve">400 - </t>
    </r>
    <r>
      <rPr>
        <sz val="11"/>
        <rFont val="Noto Sans CJK SC"/>
        <family val="2"/>
      </rPr>
      <t xml:space="preserve">칸막이 반두께</t>
    </r>
    <r>
      <rPr>
        <sz val="11"/>
        <rFont val="Arial"/>
        <family val="0"/>
        <charset val="1"/>
      </rPr>
      <t xml:space="preserve">100 = 4560. </t>
    </r>
    <r>
      <rPr>
        <sz val="11"/>
        <rFont val="Noto Sans CJK SC"/>
        <family val="2"/>
      </rPr>
      <t xml:space="preserve">방송실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무코드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제외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동쪽 </t>
    </r>
    <r>
      <rPr>
        <sz val="11"/>
        <rFont val="Arial"/>
        <family val="0"/>
        <charset val="1"/>
      </rPr>
      <t xml:space="preserve">L</t>
    </r>
    <r>
      <rPr>
        <sz val="11"/>
        <rFont val="Noto Sans CJK SC"/>
        <family val="2"/>
      </rPr>
      <t xml:space="preserve">형 연장부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문 있는 통로</t>
    </r>
    <r>
      <rPr>
        <sz val="11"/>
        <rFont val="Arial"/>
        <family val="0"/>
        <charset val="1"/>
      </rPr>
      <t xml:space="preserve">) 1.7x2.25 </t>
    </r>
    <r>
      <rPr>
        <sz val="11"/>
        <rFont val="Noto Sans CJK SC"/>
        <family val="2"/>
      </rPr>
      <t xml:space="preserve">가산 </t>
    </r>
    <r>
      <rPr>
        <sz val="11"/>
        <rFont val="Arial"/>
        <family val="0"/>
        <charset val="1"/>
      </rPr>
      <t xml:space="preserve">= 31.61+3.83=35.44. 6.93x4.56. </t>
    </r>
    <r>
      <rPr>
        <sz val="11"/>
        <rFont val="Noto Sans CJK SC"/>
        <family val="2"/>
      </rPr>
      <t xml:space="preserve">칸막이 위치는 도면 비례 추정이라 정확도 낮음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외곽 약</t>
    </r>
    <r>
      <rPr>
        <sz val="11"/>
        <rFont val="Arial"/>
        <family val="0"/>
        <charset val="1"/>
      </rPr>
      <t xml:space="preserve">28.0-</t>
    </r>
    <r>
      <rPr>
        <sz val="11"/>
        <rFont val="Noto Sans CJK SC"/>
        <family val="2"/>
      </rPr>
      <t xml:space="preserve">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방송실 문</t>
    </r>
    <r>
      <rPr>
        <sz val="11"/>
        <rFont val="Arial"/>
        <family val="0"/>
        <charset val="1"/>
      </rPr>
      <t xml:space="preserve">1.0+</t>
    </r>
    <r>
      <rPr>
        <sz val="11"/>
        <rFont val="Noto Sans CJK SC"/>
        <family val="2"/>
      </rPr>
      <t xml:space="preserve">하부 출입문</t>
    </r>
    <r>
      <rPr>
        <sz val="11"/>
        <rFont val="Arial"/>
        <family val="0"/>
        <charset val="1"/>
      </rPr>
      <t xml:space="preserve">1.2)=25.5</t>
    </r>
  </si>
  <si>
    <t xml:space="preserve">low</t>
  </si>
  <si>
    <r>
      <rPr>
        <sz val="11"/>
        <rFont val="Arial"/>
        <family val="0"/>
        <charset val="1"/>
      </rPr>
      <t xml:space="preserve">ok (</t>
    </r>
    <r>
      <rPr>
        <sz val="11"/>
        <rFont val="Noto Sans CJK SC"/>
        <family val="2"/>
      </rPr>
      <t xml:space="preserve">도면 재확인</t>
    </r>
    <r>
      <rPr>
        <sz val="11"/>
        <rFont val="Arial"/>
        <family val="0"/>
        <charset val="1"/>
      </rPr>
      <t xml:space="preserve">: 6930x4560 + </t>
    </r>
    <r>
      <rPr>
        <sz val="11"/>
        <rFont val="Noto Sans CJK SC"/>
        <family val="2"/>
      </rPr>
      <t xml:space="preserve">방송실 동측 통로 </t>
    </r>
    <r>
      <rPr>
        <sz val="11"/>
        <rFont val="Arial"/>
        <family val="0"/>
        <charset val="1"/>
      </rPr>
      <t xml:space="preserve">L</t>
    </r>
    <r>
      <rPr>
        <sz val="11"/>
        <rFont val="Noto Sans CJK SC"/>
        <family val="2"/>
      </rPr>
      <t xml:space="preserve">부 유지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칸막이 위치는 도면 비례라 </t>
    </r>
    <r>
      <rPr>
        <sz val="11"/>
        <rFont val="Arial"/>
        <family val="0"/>
        <charset val="1"/>
      </rPr>
      <t xml:space="preserve">low </t>
    </r>
    <r>
      <rPr>
        <sz val="11"/>
        <rFont val="Noto Sans CJK SC"/>
        <family val="2"/>
      </rPr>
      <t xml:space="preserve">유지</t>
    </r>
    <r>
      <rPr>
        <sz val="11"/>
        <rFont val="Arial"/>
        <family val="0"/>
        <charset val="1"/>
      </rPr>
      <t xml:space="preserve">) | v6: B1</t>
    </r>
    <r>
      <rPr>
        <sz val="11"/>
        <rFont val="Noto Sans CJK SC"/>
        <family val="2"/>
      </rPr>
      <t xml:space="preserve">은 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커튼월 접면 없음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동측 </t>
    </r>
    <r>
      <rPr>
        <sz val="11"/>
        <rFont val="Arial"/>
        <family val="0"/>
        <charset val="1"/>
      </rPr>
      <t xml:space="preserve">D.A</t>
    </r>
    <r>
      <rPr>
        <sz val="11"/>
        <rFont val="Noto Sans CJK SC"/>
        <family val="2"/>
      </rPr>
      <t xml:space="preserve">는 벽 바깥 선큰</t>
    </r>
    <r>
      <rPr>
        <sz val="11"/>
        <rFont val="Arial"/>
        <family val="0"/>
        <charset val="1"/>
      </rPr>
      <t xml:space="preserve">, 11450 </t>
    </r>
    <r>
      <rPr>
        <sz val="11"/>
        <rFont val="Noto Sans CJK SC"/>
        <family val="2"/>
      </rPr>
      <t xml:space="preserve">치수가 벽 안쪽까지</t>
    </r>
    <r>
      <rPr>
        <sz val="11"/>
        <rFont val="Arial"/>
        <family val="0"/>
        <charset val="1"/>
      </rPr>
      <t xml:space="preserve">) -&gt; </t>
    </r>
    <r>
      <rPr>
        <sz val="11"/>
        <rFont val="Noto Sans CJK SC"/>
        <family val="2"/>
      </rPr>
      <t xml:space="preserve">띠 없음</t>
    </r>
    <r>
      <rPr>
        <sz val="11"/>
        <rFont val="Arial"/>
        <family val="0"/>
        <charset val="1"/>
      </rPr>
      <t xml:space="preserve">, v5 </t>
    </r>
    <r>
      <rPr>
        <sz val="11"/>
        <rFont val="Noto Sans CJK SC"/>
        <family val="2"/>
      </rPr>
      <t xml:space="preserve">유지</t>
    </r>
  </si>
  <si>
    <t xml:space="preserve">기자실</t>
  </si>
  <si>
    <r>
      <rPr>
        <sz val="11"/>
        <rFont val="Arial"/>
        <family val="0"/>
        <charset val="1"/>
      </rPr>
      <t xml:space="preserve">B1_dimension_SE: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500+1000+2600=4100,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2950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. 4.1x2.95.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=2*(4.1+2.95)-</t>
    </r>
    <r>
      <rPr>
        <sz val="11"/>
        <rFont val="Noto Sans CJK SC"/>
        <family val="2"/>
      </rPr>
      <t xml:space="preserve">문</t>
    </r>
    <r>
      <rPr>
        <sz val="11"/>
        <rFont val="Arial"/>
        <family val="0"/>
        <charset val="1"/>
      </rPr>
      <t xml:space="preserve">1000=13.1</t>
    </r>
  </si>
  <si>
    <t xml:space="preserve">high</t>
  </si>
  <si>
    <r>
      <rPr>
        <sz val="11"/>
        <rFont val="Arial"/>
        <family val="0"/>
        <charset val="1"/>
      </rPr>
      <t xml:space="preserve">ok | v6: B1</t>
    </r>
    <r>
      <rPr>
        <sz val="11"/>
        <rFont val="Noto Sans CJK SC"/>
        <family val="2"/>
      </rPr>
      <t xml:space="preserve">은 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커튼월 접면 없음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동측 </t>
    </r>
    <r>
      <rPr>
        <sz val="11"/>
        <rFont val="Arial"/>
        <family val="0"/>
        <charset val="1"/>
      </rPr>
      <t xml:space="preserve">D.A</t>
    </r>
    <r>
      <rPr>
        <sz val="11"/>
        <rFont val="Noto Sans CJK SC"/>
        <family val="2"/>
      </rPr>
      <t xml:space="preserve">는 벽 바깥 선큰</t>
    </r>
    <r>
      <rPr>
        <sz val="11"/>
        <rFont val="Arial"/>
        <family val="0"/>
        <charset val="1"/>
      </rPr>
      <t xml:space="preserve">, 11450 </t>
    </r>
    <r>
      <rPr>
        <sz val="11"/>
        <rFont val="Noto Sans CJK SC"/>
        <family val="2"/>
      </rPr>
      <t xml:space="preserve">치수가 벽 안쪽까지</t>
    </r>
    <r>
      <rPr>
        <sz val="11"/>
        <rFont val="Arial"/>
        <family val="0"/>
        <charset val="1"/>
      </rPr>
      <t xml:space="preserve">) -&gt; </t>
    </r>
    <r>
      <rPr>
        <sz val="11"/>
        <rFont val="Noto Sans CJK SC"/>
        <family val="2"/>
      </rPr>
      <t xml:space="preserve">띠 없음</t>
    </r>
    <r>
      <rPr>
        <sz val="11"/>
        <rFont val="Arial"/>
        <family val="0"/>
        <charset val="1"/>
      </rPr>
      <t xml:space="preserve">, v5 </t>
    </r>
    <r>
      <rPr>
        <sz val="11"/>
        <rFont val="Noto Sans CJK SC"/>
        <family val="2"/>
      </rPr>
      <t xml:space="preserve">유지</t>
    </r>
  </si>
  <si>
    <t xml:space="preserve">기사대기실</t>
  </si>
  <si>
    <r>
      <rPr>
        <sz val="11"/>
        <rFont val="Arial"/>
        <family val="0"/>
        <charset val="1"/>
      </rPr>
      <t xml:space="preserve">B1_dimension_SE: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1060+940=2000 (</t>
    </r>
    <r>
      <rPr>
        <sz val="11"/>
        <rFont val="Noto Sans CJK SC"/>
        <family val="2"/>
      </rPr>
      <t xml:space="preserve">좌측 </t>
    </r>
    <r>
      <rPr>
        <sz val="11"/>
        <rFont val="Arial"/>
        <family val="0"/>
        <charset val="1"/>
      </rPr>
      <t xml:space="preserve">300 </t>
    </r>
    <r>
      <rPr>
        <sz val="11"/>
        <rFont val="Noto Sans CJK SC"/>
        <family val="2"/>
      </rPr>
      <t xml:space="preserve">벽 제외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2050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둘레</t>
    </r>
    <r>
      <rPr>
        <sz val="11"/>
        <rFont val="Arial"/>
        <family val="0"/>
        <charset val="1"/>
      </rPr>
      <t xml:space="preserve">8.1-</t>
    </r>
    <r>
      <rPr>
        <sz val="11"/>
        <rFont val="Noto Sans CJK SC"/>
        <family val="2"/>
      </rPr>
      <t xml:space="preserve">문</t>
    </r>
    <r>
      <rPr>
        <sz val="11"/>
        <rFont val="Arial"/>
        <family val="0"/>
        <charset val="1"/>
      </rPr>
      <t xml:space="preserve">940=7.16. </t>
    </r>
    <r>
      <rPr>
        <sz val="11"/>
        <rFont val="Noto Sans CJK SC"/>
        <family val="2"/>
      </rPr>
      <t xml:space="preserve">재질도면에 </t>
    </r>
    <r>
      <rPr>
        <sz val="11"/>
        <rFont val="Arial"/>
        <family val="0"/>
        <charset val="1"/>
      </rPr>
      <t xml:space="preserve">DELUXE TILE FIN. </t>
    </r>
    <r>
      <rPr>
        <sz val="11"/>
        <rFont val="Noto Sans CJK SC"/>
        <family val="2"/>
      </rPr>
      <t xml:space="preserve">문구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코드 태그는 창고 옆 </t>
    </r>
    <r>
      <rPr>
        <sz val="11"/>
        <rFont val="Arial"/>
        <family val="0"/>
        <charset val="1"/>
      </rPr>
      <t xml:space="preserve">01 DE</t>
    </r>
    <r>
      <rPr>
        <sz val="11"/>
        <rFont val="Noto Sans CJK SC"/>
        <family val="2"/>
      </rPr>
      <t xml:space="preserve">와 공유 표기</t>
    </r>
    <r>
      <rPr>
        <sz val="11"/>
        <rFont val="Arial"/>
        <family val="0"/>
        <charset val="1"/>
      </rPr>
      <t xml:space="preserve">)</t>
    </r>
  </si>
  <si>
    <t xml:space="preserve">창고</t>
  </si>
  <si>
    <r>
      <rPr>
        <sz val="11"/>
        <rFont val="Arial"/>
        <family val="0"/>
        <charset val="1"/>
      </rPr>
      <t xml:space="preserve">B1_dimension_SE: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1000+1850=2850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가로는 숫자 없어 벽 중심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외벽 안쪽 도면비례 약</t>
    </r>
    <r>
      <rPr>
        <sz val="11"/>
        <rFont val="Arial"/>
        <family val="0"/>
        <charset val="1"/>
      </rPr>
      <t xml:space="preserve">1700(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둘레</t>
    </r>
    <r>
      <rPr>
        <sz val="11"/>
        <rFont val="Arial"/>
        <family val="0"/>
        <charset val="1"/>
      </rPr>
      <t xml:space="preserve">9.1-</t>
    </r>
    <r>
      <rPr>
        <sz val="11"/>
        <rFont val="Noto Sans CJK SC"/>
        <family val="2"/>
      </rPr>
      <t xml:space="preserve">문</t>
    </r>
    <r>
      <rPr>
        <sz val="11"/>
        <rFont val="Arial"/>
        <family val="0"/>
        <charset val="1"/>
      </rPr>
      <t xml:space="preserve">1.0=8.1</t>
    </r>
  </si>
  <si>
    <t xml:space="preserve">이사장실</t>
  </si>
  <si>
    <t xml:space="preserve">DT-01</t>
  </si>
  <si>
    <r>
      <rPr>
        <sz val="11"/>
        <rFont val="Arial"/>
        <family val="0"/>
        <charset val="1"/>
      </rPr>
      <t xml:space="preserve">B1_dimension_NE/NW: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2849 x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2495 (</t>
    </r>
    <r>
      <rPr>
        <sz val="11"/>
        <rFont val="Noto Sans CJK SC"/>
        <family val="2"/>
      </rPr>
      <t xml:space="preserve">실 안쪽 치수 숫자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재질도면 </t>
    </r>
    <r>
      <rPr>
        <sz val="11"/>
        <rFont val="Arial"/>
        <family val="0"/>
        <charset val="1"/>
      </rPr>
      <t xml:space="preserve">remark(DT-01: </t>
    </r>
    <r>
      <rPr>
        <sz val="11"/>
        <rFont val="Noto Sans CJK SC"/>
        <family val="2"/>
      </rPr>
      <t xml:space="preserve">법률구조재단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이사장실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 이사장실 포함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=2*(2.849+2.495)=10.69 - </t>
    </r>
    <r>
      <rPr>
        <sz val="11"/>
        <rFont val="Noto Sans CJK SC"/>
        <family val="2"/>
      </rPr>
      <t xml:space="preserve">동측 유리칸막이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문 포함</t>
    </r>
    <r>
      <rPr>
        <sz val="11"/>
        <rFont val="Arial"/>
        <family val="0"/>
        <charset val="1"/>
      </rPr>
      <t xml:space="preserve">) 2.495 = 8.19</t>
    </r>
  </si>
  <si>
    <t xml:space="preserve">법률구조재단</t>
  </si>
  <si>
    <r>
      <rPr>
        <sz val="11"/>
        <rFont val="Arial"/>
        <family val="0"/>
        <charset val="1"/>
      </rPr>
      <t xml:space="preserve">B1_dimension_NE: 7845(</t>
    </r>
    <r>
      <rPr>
        <sz val="11"/>
        <rFont val="Noto Sans CJK SC"/>
        <family val="2"/>
      </rPr>
      <t xml:space="preserve">전체 가로</t>
    </r>
    <r>
      <rPr>
        <sz val="11"/>
        <rFont val="Arial"/>
        <family val="0"/>
        <charset val="1"/>
      </rPr>
      <t xml:space="preserve">) x (2495+105+2850=5450) = 42.76 </t>
    </r>
    <r>
      <rPr>
        <sz val="11"/>
        <rFont val="Noto Sans CJK SC"/>
        <family val="2"/>
      </rPr>
      <t xml:space="preserve">에서 이사장실 </t>
    </r>
    <r>
      <rPr>
        <sz val="11"/>
        <rFont val="Arial"/>
        <family val="0"/>
        <charset val="1"/>
      </rPr>
      <t xml:space="preserve">2849x2495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준비실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무코드</t>
    </r>
    <r>
      <rPr>
        <sz val="11"/>
        <rFont val="Arial"/>
        <family val="0"/>
        <charset val="1"/>
      </rPr>
      <t xml:space="preserve">, 105+1690+105=1900 x 1883+105=1988)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이사장실 하부 벽 </t>
    </r>
    <r>
      <rPr>
        <sz val="11"/>
        <rFont val="Arial"/>
        <family val="0"/>
        <charset val="1"/>
      </rPr>
      <t xml:space="preserve">105x2849 </t>
    </r>
    <r>
      <rPr>
        <sz val="11"/>
        <rFont val="Noto Sans CJK SC"/>
        <family val="2"/>
      </rPr>
      <t xml:space="preserve">공제 </t>
    </r>
    <r>
      <rPr>
        <sz val="11"/>
        <rFont val="Arial"/>
        <family val="0"/>
        <charset val="1"/>
      </rPr>
      <t xml:space="preserve">= 31.57.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코너 노치 제외 둘레 </t>
    </r>
    <r>
      <rPr>
        <sz val="11"/>
        <rFont val="Arial"/>
        <family val="0"/>
        <charset val="1"/>
      </rPr>
      <t xml:space="preserve">26.59 - </t>
    </r>
    <r>
      <rPr>
        <sz val="11"/>
        <rFont val="Noto Sans CJK SC"/>
        <family val="2"/>
      </rPr>
      <t xml:space="preserve">서측문</t>
    </r>
    <r>
      <rPr>
        <sz val="11"/>
        <rFont val="Arial"/>
        <family val="0"/>
        <charset val="1"/>
      </rPr>
      <t xml:space="preserve">0.9 - </t>
    </r>
    <r>
      <rPr>
        <sz val="11"/>
        <rFont val="Noto Sans CJK SC"/>
        <family val="2"/>
      </rPr>
      <t xml:space="preserve">동측문</t>
    </r>
    <r>
      <rPr>
        <sz val="11"/>
        <rFont val="Arial"/>
        <family val="0"/>
        <charset val="1"/>
      </rPr>
      <t xml:space="preserve">0.98(B1_dimension_NE '980') - </t>
    </r>
    <r>
      <rPr>
        <sz val="11"/>
        <rFont val="Noto Sans CJK SC"/>
        <family val="2"/>
      </rPr>
      <t xml:space="preserve">이사장실 유리칸막이 </t>
    </r>
    <r>
      <rPr>
        <sz val="11"/>
        <rFont val="Arial"/>
        <family val="0"/>
        <charset val="1"/>
      </rPr>
      <t xml:space="preserve">2.495 = 22.22</t>
    </r>
  </si>
  <si>
    <t xml:space="preserve">2F</t>
  </si>
  <si>
    <r>
      <rPr>
        <sz val="11"/>
        <rFont val="Noto Sans CJK SC"/>
        <family val="2"/>
      </rPr>
      <t xml:space="preserve">여직원휴게실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수유실</t>
    </r>
    <r>
      <rPr>
        <sz val="11"/>
        <rFont val="Arial"/>
        <family val="0"/>
        <charset val="1"/>
      </rPr>
      <t xml:space="preserve">)</t>
    </r>
  </si>
  <si>
    <t xml:space="preserve">CT-02</t>
  </si>
  <si>
    <r>
      <rPr>
        <sz val="11"/>
        <rFont val="Arial"/>
        <family val="0"/>
        <charset val="1"/>
      </rPr>
      <t xml:space="preserve">2F_dimension_NE: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1116+1080=2196,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4045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좌측 </t>
    </r>
    <r>
      <rPr>
        <sz val="11"/>
        <rFont val="Arial"/>
        <family val="0"/>
        <charset val="1"/>
      </rPr>
      <t xml:space="preserve">1116</t>
    </r>
    <r>
      <rPr>
        <sz val="11"/>
        <rFont val="Noto Sans CJK SC"/>
        <family val="2"/>
      </rPr>
      <t xml:space="preserve">폭 구간은 </t>
    </r>
    <r>
      <rPr>
        <sz val="11"/>
        <rFont val="Arial"/>
        <family val="0"/>
        <charset val="1"/>
      </rPr>
      <t xml:space="preserve">295 </t>
    </r>
    <r>
      <rPr>
        <sz val="11"/>
        <rFont val="Noto Sans CJK SC"/>
        <family val="2"/>
      </rPr>
      <t xml:space="preserve">만큼 짧음</t>
    </r>
    <r>
      <rPr>
        <sz val="11"/>
        <rFont val="Arial"/>
        <family val="0"/>
        <charset val="1"/>
      </rPr>
      <t xml:space="preserve">(2F_dimension_NE '295') =&gt; 1.116x3.75+1.08x4.045=4.19+4.37.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둘레</t>
    </r>
    <r>
      <rPr>
        <sz val="11"/>
        <rFont val="Arial"/>
        <family val="0"/>
        <charset val="1"/>
      </rPr>
      <t xml:space="preserve">12.48-</t>
    </r>
    <r>
      <rPr>
        <sz val="11"/>
        <rFont val="Noto Sans CJK SC"/>
        <family val="2"/>
      </rPr>
      <t xml:space="preserve">문 </t>
    </r>
    <r>
      <rPr>
        <sz val="11"/>
        <rFont val="Arial"/>
        <family val="0"/>
        <charset val="1"/>
      </rPr>
      <t xml:space="preserve">980=11.5</t>
    </r>
  </si>
  <si>
    <r>
      <rPr>
        <sz val="11"/>
        <rFont val="Arial"/>
        <family val="0"/>
        <charset val="1"/>
      </rPr>
      <t xml:space="preserve">ok | v6: </t>
    </r>
    <r>
      <rPr>
        <sz val="11"/>
        <rFont val="Noto Sans CJK SC"/>
        <family val="2"/>
      </rPr>
      <t xml:space="preserve">외벽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창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접면 없음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무수치 북벽 </t>
    </r>
    <r>
      <rPr>
        <sz val="11"/>
        <rFont val="Arial"/>
        <family val="0"/>
        <charset val="1"/>
      </rPr>
      <t xml:space="preserve">-&gt; </t>
    </r>
    <r>
      <rPr>
        <sz val="11"/>
        <rFont val="Noto Sans CJK SC"/>
        <family val="2"/>
      </rPr>
      <t xml:space="preserve">띠 변경 없음</t>
    </r>
  </si>
  <si>
    <r>
      <rPr>
        <sz val="11"/>
        <rFont val="Noto Sans CJK SC"/>
        <family val="2"/>
      </rPr>
      <t xml:space="preserve">소회의실</t>
    </r>
    <r>
      <rPr>
        <sz val="11"/>
        <rFont val="Arial"/>
        <family val="0"/>
        <charset val="1"/>
      </rPr>
      <t xml:space="preserve">-1</t>
    </r>
  </si>
  <si>
    <r>
      <rPr>
        <sz val="11"/>
        <rFont val="Arial"/>
        <family val="0"/>
        <charset val="1"/>
      </rPr>
      <t xml:space="preserve">2F_dimension_SW: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3205,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3345(2F_dimension_SE '3345', SW '3390'</t>
    </r>
    <r>
      <rPr>
        <sz val="11"/>
        <rFont val="Noto Sans CJK SC"/>
        <family val="2"/>
      </rPr>
      <t xml:space="preserve">은 중심선 기준이라 </t>
    </r>
    <r>
      <rPr>
        <sz val="11"/>
        <rFont val="Arial"/>
        <family val="0"/>
        <charset val="1"/>
      </rPr>
      <t xml:space="preserve">3345 </t>
    </r>
    <r>
      <rPr>
        <sz val="11"/>
        <rFont val="Noto Sans CJK SC"/>
        <family val="2"/>
      </rPr>
      <t xml:space="preserve">채택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서벽</t>
    </r>
    <r>
      <rPr>
        <sz val="11"/>
        <rFont val="Arial"/>
        <family val="0"/>
        <charset val="1"/>
      </rPr>
      <t xml:space="preserve">3.345+</t>
    </r>
    <r>
      <rPr>
        <sz val="11"/>
        <rFont val="Noto Sans CJK SC"/>
        <family val="2"/>
      </rPr>
      <t xml:space="preserve">동측 폴딩도어 칸막이</t>
    </r>
    <r>
      <rPr>
        <sz val="11"/>
        <rFont val="Arial"/>
        <family val="0"/>
        <charset val="1"/>
      </rPr>
      <t xml:space="preserve">3.345 (</t>
    </r>
    <r>
      <rPr>
        <sz val="11"/>
        <rFont val="Noto Sans CJK SC"/>
        <family val="2"/>
      </rPr>
      <t xml:space="preserve">전면 유리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남측 창 제외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폴딩 칸막이를 양쪽 실에 반영한 가정</t>
    </r>
    <r>
      <rPr>
        <sz val="11"/>
        <rFont val="Arial"/>
        <family val="0"/>
        <charset val="1"/>
      </rPr>
      <t xml:space="preserve">)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서측 고정벽 </t>
    </r>
    <r>
      <rPr>
        <sz val="11"/>
        <rFont val="Arial"/>
        <family val="0"/>
        <charset val="1"/>
      </rPr>
      <t xml:space="preserve">3.345 + </t>
    </r>
    <r>
      <rPr>
        <sz val="11"/>
        <rFont val="Noto Sans CJK SC"/>
        <family val="2"/>
      </rPr>
      <t xml:space="preserve">남측 불투명 외벽 </t>
    </r>
    <r>
      <rPr>
        <sz val="11"/>
        <rFont val="Arial"/>
        <family val="0"/>
        <charset val="1"/>
      </rPr>
      <t xml:space="preserve">1.78 = 5.13 (</t>
    </r>
    <r>
      <rPr>
        <sz val="11"/>
        <rFont val="Noto Sans CJK SC"/>
        <family val="2"/>
      </rPr>
      <t xml:space="preserve">동측 폴딩도어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전면 유리 제외</t>
    </r>
    <r>
      <rPr>
        <sz val="11"/>
        <rFont val="Arial"/>
        <family val="0"/>
        <charset val="1"/>
      </rPr>
      <t xml:space="preserve">).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2F_dimension_SW '3390'/SE '3345'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'555'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3205 - </t>
    </r>
    <r>
      <rPr>
        <sz val="11"/>
        <rFont val="Noto Sans CJK SC"/>
        <family val="2"/>
      </rPr>
      <t xml:space="preserve">그리드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기둥 약</t>
    </r>
    <r>
      <rPr>
        <sz val="11"/>
        <rFont val="Arial"/>
        <family val="0"/>
        <charset val="1"/>
      </rPr>
      <t xml:space="preserve">0.21.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555x3.205=+1.78 +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=-0.21 = +1.57.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</si>
  <si>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+1.57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(2F_dimension_SW '3390'/SE '3345'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'555'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3205 - </t>
    </r>
    <r>
      <rPr>
        <sz val="11"/>
        <rFont val="Noto Sans CJK SC"/>
        <family val="2"/>
      </rPr>
      <t xml:space="preserve">그리드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기둥 약</t>
    </r>
    <r>
      <rPr>
        <sz val="11"/>
        <rFont val="Arial"/>
        <family val="0"/>
        <charset val="1"/>
      </rPr>
      <t xml:space="preserve">0.21).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10.72-&gt;12.29.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</t>
    </r>
    <r>
      <rPr>
        <sz val="11"/>
        <rFont val="Noto Sans CJK SC"/>
        <family val="2"/>
      </rPr>
      <t xml:space="preserve">걸레받이 수정 </t>
    </r>
    <r>
      <rPr>
        <sz val="11"/>
        <rFont val="Arial"/>
        <family val="0"/>
        <charset val="1"/>
      </rPr>
      <t xml:space="preserve">6.69-&gt;5.13. </t>
    </r>
    <r>
      <rPr>
        <sz val="11"/>
        <rFont val="Noto Sans CJK SC"/>
        <family val="2"/>
      </rPr>
      <t xml:space="preserve">폴딩도어</t>
    </r>
    <r>
      <rPr>
        <sz val="11"/>
        <rFont val="Arial"/>
        <family val="0"/>
        <charset val="1"/>
      </rPr>
      <t xml:space="preserve">(ESC-04) </t>
    </r>
    <r>
      <rPr>
        <sz val="11"/>
        <rFont val="Noto Sans CJK SC"/>
        <family val="2"/>
      </rPr>
      <t xml:space="preserve">칸막이는 이동식이라 걸레받이 없음</t>
    </r>
    <r>
      <rPr>
        <sz val="11"/>
        <rFont val="Arial"/>
        <family val="0"/>
        <charset val="1"/>
      </rPr>
      <t xml:space="preserve">(R5 </t>
    </r>
    <r>
      <rPr>
        <sz val="11"/>
        <rFont val="Noto Sans CJK SC"/>
        <family val="2"/>
      </rPr>
      <t xml:space="preserve">벽이 있는 구간만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서측 고정벽 </t>
    </r>
    <r>
      <rPr>
        <sz val="11"/>
        <rFont val="Arial"/>
        <family val="0"/>
        <charset val="1"/>
      </rPr>
      <t xml:space="preserve">3.345</t>
    </r>
    <r>
      <rPr>
        <sz val="11"/>
        <rFont val="Noto Sans CJK SC"/>
        <family val="2"/>
      </rPr>
      <t xml:space="preserve">만 인정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반대로 남측 외벽 불투명 기둥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벽체 구간 약</t>
    </r>
    <r>
      <rPr>
        <sz val="11"/>
        <rFont val="Arial"/>
        <family val="0"/>
        <charset val="1"/>
      </rPr>
      <t xml:space="preserve">1.78m(2F_dimension_SW </t>
    </r>
    <r>
      <rPr>
        <sz val="11"/>
        <rFont val="Noto Sans CJK SC"/>
        <family val="2"/>
      </rPr>
      <t xml:space="preserve">하단 진한 벽체 </t>
    </r>
    <r>
      <rPr>
        <sz val="11"/>
        <rFont val="Arial"/>
        <family val="0"/>
        <charset val="1"/>
      </rPr>
      <t xml:space="preserve">x950~1080)</t>
    </r>
    <r>
      <rPr>
        <sz val="11"/>
        <rFont val="Noto Sans CJK SC"/>
        <family val="2"/>
      </rPr>
      <t xml:space="preserve">가 누락되어 추가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</si>
  <si>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소회의실</t>
    </r>
    <r>
      <rPr>
        <sz val="11"/>
        <rFont val="Arial"/>
        <family val="0"/>
        <charset val="1"/>
      </rPr>
      <t xml:space="preserve">-2</t>
    </r>
  </si>
  <si>
    <r>
      <rPr>
        <sz val="11"/>
        <rFont val="Arial"/>
        <family val="0"/>
        <charset val="1"/>
      </rPr>
      <t xml:space="preserve">2F_dimension_SW/SE: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3203,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3345.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양측 폴딩도어 칸막이 </t>
    </r>
    <r>
      <rPr>
        <sz val="11"/>
        <rFont val="Arial"/>
        <family val="0"/>
        <charset val="1"/>
      </rPr>
      <t xml:space="preserve">3.345x2 (</t>
    </r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)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양측 폴딩도어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전면 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남측 유리 </t>
    </r>
    <r>
      <rPr>
        <sz val="11"/>
        <rFont val="Arial"/>
        <family val="0"/>
        <charset val="1"/>
      </rPr>
      <t xml:space="preserve">=&gt; </t>
    </r>
    <r>
      <rPr>
        <sz val="11"/>
        <rFont val="Noto Sans CJK SC"/>
        <family val="2"/>
      </rPr>
      <t xml:space="preserve">걸레받이 </t>
    </r>
    <r>
      <rPr>
        <sz val="11"/>
        <rFont val="Arial"/>
        <family val="0"/>
        <charset val="1"/>
      </rPr>
      <t xml:space="preserve">0.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2F_dimension_SW/SE '3345'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'555'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3203 (</t>
    </r>
    <r>
      <rPr>
        <sz val="11"/>
        <rFont val="Noto Sans CJK SC"/>
        <family val="2"/>
      </rPr>
      <t xml:space="preserve">기둥 없음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555x3.203=+1.78 = +1.78.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</si>
  <si>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+1.78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(2F_dimension_SW/SE '3345'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'555'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3203 (</t>
    </r>
    <r>
      <rPr>
        <sz val="11"/>
        <rFont val="Noto Sans CJK SC"/>
        <family val="2"/>
      </rPr>
      <t xml:space="preserve">기둥 없음</t>
    </r>
    <r>
      <rPr>
        <sz val="11"/>
        <rFont val="Arial"/>
        <family val="0"/>
        <charset val="1"/>
      </rPr>
      <t xml:space="preserve">)).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10.71-&gt;12.49.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</t>
    </r>
    <r>
      <rPr>
        <sz val="11"/>
        <rFont val="Noto Sans CJK SC"/>
        <family val="2"/>
      </rPr>
      <t xml:space="preserve">걸레받이 수정 </t>
    </r>
    <r>
      <rPr>
        <sz val="11"/>
        <rFont val="Arial"/>
        <family val="0"/>
        <charset val="1"/>
      </rPr>
      <t xml:space="preserve">6.69-&gt;0. </t>
    </r>
    <r>
      <rPr>
        <sz val="11"/>
        <rFont val="Noto Sans CJK SC"/>
        <family val="2"/>
      </rPr>
      <t xml:space="preserve">양측이 모두 폴딩도어 칸막이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이동식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걸레받이 없음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전면은 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남측은 </t>
    </r>
    <r>
      <rPr>
        <sz val="11"/>
        <rFont val="Arial"/>
        <family val="0"/>
        <charset val="1"/>
      </rPr>
      <t xml:space="preserve">SE</t>
    </r>
    <r>
      <rPr>
        <sz val="11"/>
        <rFont val="Noto Sans CJK SC"/>
        <family val="2"/>
      </rPr>
      <t xml:space="preserve">타일상 유리 커튼월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벽 구간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</si>
  <si>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소회의실</t>
    </r>
    <r>
      <rPr>
        <sz val="11"/>
        <rFont val="Arial"/>
        <family val="0"/>
        <charset val="1"/>
      </rPr>
      <t xml:space="preserve">-3</t>
    </r>
  </si>
  <si>
    <r>
      <rPr>
        <sz val="11"/>
        <rFont val="Arial"/>
        <family val="0"/>
        <charset val="1"/>
      </rPr>
      <t xml:space="preserve">2F_dimension_SE: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3203,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3345.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서측 폴딩 </t>
    </r>
    <r>
      <rPr>
        <sz val="11"/>
        <rFont val="Arial"/>
        <family val="0"/>
        <charset val="1"/>
      </rPr>
      <t xml:space="preserve">3.345 + </t>
    </r>
    <r>
      <rPr>
        <sz val="11"/>
        <rFont val="Noto Sans CJK SC"/>
        <family val="2"/>
      </rPr>
      <t xml:space="preserve">동측 금고 벽 </t>
    </r>
    <r>
      <rPr>
        <sz val="11"/>
        <rFont val="Arial"/>
        <family val="0"/>
        <charset val="1"/>
      </rPr>
      <t xml:space="preserve">3.345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동측 금고 고정벽 </t>
    </r>
    <r>
      <rPr>
        <sz val="11"/>
        <rFont val="Arial"/>
        <family val="0"/>
        <charset val="1"/>
      </rPr>
      <t xml:space="preserve">3.345 (</t>
    </r>
    <r>
      <rPr>
        <sz val="11"/>
        <rFont val="Noto Sans CJK SC"/>
        <family val="2"/>
      </rPr>
      <t xml:space="preserve">서측 폴딩도어 제외</t>
    </r>
    <r>
      <rPr>
        <sz val="11"/>
        <rFont val="Arial"/>
        <family val="0"/>
        <charset val="1"/>
      </rPr>
      <t xml:space="preserve">).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2F_dimension_SE '3345'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'555'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3203 - </t>
    </r>
    <r>
      <rPr>
        <sz val="11"/>
        <rFont val="Noto Sans CJK SC"/>
        <family val="2"/>
      </rPr>
      <t xml:space="preserve">동측 기둥 약</t>
    </r>
    <r>
      <rPr>
        <sz val="11"/>
        <rFont val="Arial"/>
        <family val="0"/>
        <charset val="1"/>
      </rPr>
      <t xml:space="preserve">0.21.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555x3.203=+1.78 +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=-0.21 = +1.57.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</si>
  <si>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+1.57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(2F_dimension_SE '3345'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'555'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3203 - </t>
    </r>
    <r>
      <rPr>
        <sz val="11"/>
        <rFont val="Noto Sans CJK SC"/>
        <family val="2"/>
      </rPr>
      <t xml:space="preserve">동측 기둥 약</t>
    </r>
    <r>
      <rPr>
        <sz val="11"/>
        <rFont val="Arial"/>
        <family val="0"/>
        <charset val="1"/>
      </rPr>
      <t xml:space="preserve">0.21).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10.71-&gt;12.28.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</t>
    </r>
    <r>
      <rPr>
        <sz val="11"/>
        <rFont val="Noto Sans CJK SC"/>
        <family val="2"/>
      </rPr>
      <t xml:space="preserve">걸레받이 수정 </t>
    </r>
    <r>
      <rPr>
        <sz val="11"/>
        <rFont val="Arial"/>
        <family val="0"/>
        <charset val="1"/>
      </rPr>
      <t xml:space="preserve">6.69-&gt;3.35. </t>
    </r>
    <r>
      <rPr>
        <sz val="11"/>
        <rFont val="Noto Sans CJK SC"/>
        <family val="2"/>
      </rPr>
      <t xml:space="preserve">서측은 폴딩도어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걸레받이 없음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동측 금고 벽 </t>
    </r>
    <r>
      <rPr>
        <sz val="11"/>
        <rFont val="Arial"/>
        <family val="0"/>
        <charset val="1"/>
      </rPr>
      <t xml:space="preserve">3.345</t>
    </r>
    <r>
      <rPr>
        <sz val="11"/>
        <rFont val="Noto Sans CJK SC"/>
        <family val="2"/>
      </rPr>
      <t xml:space="preserve">만 고정벽</t>
    </r>
    <r>
      <rPr>
        <sz val="11"/>
        <rFont val="Arial"/>
        <family val="0"/>
        <charset val="1"/>
      </rPr>
      <t xml:space="preserve">.</t>
    </r>
  </si>
  <si>
    <t xml:space="preserve">금고</t>
  </si>
  <si>
    <r>
      <rPr>
        <sz val="11"/>
        <rFont val="Arial"/>
        <family val="0"/>
        <charset val="1"/>
      </rPr>
      <t xml:space="preserve">2F_dimension_SE: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1673,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980+2310=3290 (205/105 </t>
    </r>
    <r>
      <rPr>
        <sz val="11"/>
        <rFont val="Noto Sans CJK SC"/>
        <family val="2"/>
      </rPr>
      <t xml:space="preserve">벽 제외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둘레</t>
    </r>
    <r>
      <rPr>
        <sz val="11"/>
        <rFont val="Arial"/>
        <family val="0"/>
        <charset val="1"/>
      </rPr>
      <t xml:space="preserve">9.93-</t>
    </r>
    <r>
      <rPr>
        <sz val="11"/>
        <rFont val="Noto Sans CJK SC"/>
        <family val="2"/>
      </rPr>
      <t xml:space="preserve">문</t>
    </r>
    <r>
      <rPr>
        <sz val="11"/>
        <rFont val="Arial"/>
        <family val="0"/>
        <charset val="1"/>
      </rPr>
      <t xml:space="preserve">980=8.95</t>
    </r>
  </si>
  <si>
    <r>
      <rPr>
        <sz val="11"/>
        <rFont val="Arial"/>
        <family val="0"/>
        <charset val="1"/>
      </rPr>
      <t xml:space="preserve">O.A RM (</t>
    </r>
    <r>
      <rPr>
        <sz val="11"/>
        <rFont val="Noto Sans CJK SC"/>
        <family val="2"/>
      </rPr>
      <t xml:space="preserve">서측</t>
    </r>
    <r>
      <rPr>
        <sz val="11"/>
        <rFont val="Arial"/>
        <family val="0"/>
        <charset val="1"/>
      </rPr>
      <t xml:space="preserve">)</t>
    </r>
  </si>
  <si>
    <t xml:space="preserve">DT-02</t>
  </si>
  <si>
    <r>
      <rPr>
        <sz val="11"/>
        <rFont val="Arial"/>
        <family val="0"/>
        <charset val="1"/>
      </rPr>
      <t xml:space="preserve">2F_dimension_SW: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190|1395|115 (</t>
    </r>
    <r>
      <rPr>
        <sz val="11"/>
        <rFont val="Noto Sans CJK SC"/>
        <family val="2"/>
      </rPr>
      <t xml:space="preserve">안목 </t>
    </r>
    <r>
      <rPr>
        <sz val="11"/>
        <rFont val="Arial"/>
        <family val="0"/>
        <charset val="1"/>
      </rPr>
      <t xml:space="preserve">1395),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4531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재질도면 </t>
    </r>
    <r>
      <rPr>
        <sz val="11"/>
        <rFont val="Arial"/>
        <family val="0"/>
        <charset val="1"/>
      </rPr>
      <t xml:space="preserve">SW</t>
    </r>
    <r>
      <rPr>
        <sz val="11"/>
        <rFont val="Noto Sans CJK SC"/>
        <family val="2"/>
      </rPr>
      <t xml:space="preserve">타일 태그 </t>
    </r>
    <r>
      <rPr>
        <sz val="11"/>
        <rFont val="Arial"/>
        <family val="0"/>
        <charset val="1"/>
      </rPr>
      <t xml:space="preserve">'02 DT'(overview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03</t>
    </r>
    <r>
      <rPr>
        <sz val="11"/>
        <rFont val="Noto Sans CJK SC"/>
        <family val="2"/>
      </rPr>
      <t xml:space="preserve">처럼 보이나 타일에서 </t>
    </r>
    <r>
      <rPr>
        <sz val="11"/>
        <rFont val="Arial"/>
        <family val="0"/>
        <charset val="1"/>
      </rPr>
      <t xml:space="preserve">02 </t>
    </r>
    <r>
      <rPr>
        <sz val="11"/>
        <rFont val="Noto Sans CJK SC"/>
        <family val="2"/>
      </rPr>
      <t xml:space="preserve">확인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둘레</t>
    </r>
    <r>
      <rPr>
        <sz val="11"/>
        <rFont val="Arial"/>
        <family val="0"/>
        <charset val="1"/>
      </rPr>
      <t xml:space="preserve">11.85-</t>
    </r>
    <r>
      <rPr>
        <sz val="11"/>
        <rFont val="Noto Sans CJK SC"/>
        <family val="2"/>
      </rPr>
      <t xml:space="preserve">서측 개구 </t>
    </r>
    <r>
      <rPr>
        <sz val="11"/>
        <rFont val="Arial"/>
        <family val="0"/>
        <charset val="1"/>
      </rPr>
      <t xml:space="preserve">1880=9.97</t>
    </r>
  </si>
  <si>
    <r>
      <rPr>
        <sz val="11"/>
        <rFont val="Arial"/>
        <family val="0"/>
        <charset val="1"/>
      </rPr>
      <t xml:space="preserve">CORRIDOR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(INFO~O.A </t>
    </r>
    <r>
      <rPr>
        <sz val="11"/>
        <rFont val="Noto Sans CJK SC"/>
        <family val="2"/>
      </rPr>
      <t xml:space="preserve">옆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</si>
  <si>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2F_dimension_NW: 1980(INFO </t>
    </r>
    <r>
      <rPr>
        <sz val="11"/>
        <rFont val="Noto Sans CJK SC"/>
        <family val="2"/>
      </rPr>
      <t xml:space="preserve">동측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화장실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코어벽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4.93m(INFO </t>
    </r>
    <r>
      <rPr>
        <sz val="11"/>
        <rFont val="Noto Sans CJK SC"/>
        <family val="2"/>
      </rPr>
      <t xml:space="preserve">상단벽</t>
    </r>
    <r>
      <rPr>
        <sz val="11"/>
        <rFont val="Arial"/>
        <family val="0"/>
        <charset val="1"/>
      </rPr>
      <t xml:space="preserve">~O.A RM </t>
    </r>
    <r>
      <rPr>
        <sz val="11"/>
        <rFont val="Noto Sans CJK SC"/>
        <family val="2"/>
      </rPr>
      <t xml:space="preserve">상단</t>
    </r>
    <r>
      <rPr>
        <sz val="11"/>
        <rFont val="Arial"/>
        <family val="0"/>
        <charset val="1"/>
      </rPr>
      <t xml:space="preserve">) 9.76; 2F_dimension_SW: 1600(O.A RM </t>
    </r>
    <r>
      <rPr>
        <sz val="11"/>
        <rFont val="Noto Sans CJK SC"/>
        <family val="2"/>
      </rPr>
      <t xml:space="preserve">동벽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코어 서측</t>
    </r>
    <r>
      <rPr>
        <sz val="11"/>
        <rFont val="Arial"/>
        <family val="0"/>
        <charset val="1"/>
      </rPr>
      <t xml:space="preserve">, '1700|1600|400') x 4.82(O.A RM </t>
    </r>
    <r>
      <rPr>
        <sz val="11"/>
        <rFont val="Noto Sans CJK SC"/>
        <family val="2"/>
      </rPr>
      <t xml:space="preserve">구간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코어 하부</t>
    </r>
    <r>
      <rPr>
        <sz val="11"/>
        <rFont val="Arial"/>
        <family val="0"/>
        <charset val="1"/>
      </rPr>
      <t xml:space="preserve">) 7.71. </t>
    </r>
    <r>
      <rPr>
        <sz val="11"/>
        <rFont val="Noto Sans CJK SC"/>
        <family val="2"/>
      </rPr>
      <t xml:space="preserve">길이는 도면비례 추정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화장실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코어벽</t>
    </r>
    <r>
      <rPr>
        <sz val="11"/>
        <rFont val="Arial"/>
        <family val="0"/>
        <charset val="1"/>
      </rPr>
      <t xml:space="preserve">3.4+INFO </t>
    </r>
    <r>
      <rPr>
        <sz val="11"/>
        <rFont val="Noto Sans CJK SC"/>
        <family val="2"/>
      </rPr>
      <t xml:space="preserve">상벽</t>
    </r>
    <r>
      <rPr>
        <sz val="11"/>
        <rFont val="Arial"/>
        <family val="0"/>
        <charset val="1"/>
      </rPr>
      <t xml:space="preserve">2.0+O.A</t>
    </r>
    <r>
      <rPr>
        <sz val="11"/>
        <rFont val="Noto Sans CJK SC"/>
        <family val="2"/>
      </rPr>
      <t xml:space="preserve">동벽</t>
    </r>
    <r>
      <rPr>
        <sz val="11"/>
        <rFont val="Arial"/>
        <family val="0"/>
        <charset val="1"/>
      </rPr>
      <t xml:space="preserve">4.53+</t>
    </r>
    <r>
      <rPr>
        <sz val="11"/>
        <rFont val="Noto Sans CJK SC"/>
        <family val="2"/>
      </rPr>
      <t xml:space="preserve">코어 서측</t>
    </r>
    <r>
      <rPr>
        <sz val="11"/>
        <rFont val="Arial"/>
        <family val="0"/>
        <charset val="1"/>
      </rPr>
      <t xml:space="preserve">5.4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14.75</t>
    </r>
  </si>
  <si>
    <r>
      <rPr>
        <sz val="11"/>
        <rFont val="Arial"/>
        <family val="0"/>
        <charset val="1"/>
      </rPr>
      <t xml:space="preserve">CORRIDOR </t>
    </r>
    <r>
      <rPr>
        <sz val="11"/>
        <rFont val="Noto Sans CJK SC"/>
        <family val="2"/>
      </rPr>
      <t xml:space="preserve">남측</t>
    </r>
  </si>
  <si>
    <r>
      <rPr>
        <sz val="11"/>
        <rFont val="Arial"/>
        <family val="0"/>
        <charset val="1"/>
      </rPr>
      <t xml:space="preserve">2F_dimension_SW/SE: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2000(</t>
    </r>
    <r>
      <rPr>
        <sz val="11"/>
        <rFont val="Noto Sans CJK SC"/>
        <family val="2"/>
      </rPr>
      <t xml:space="preserve">코어 하부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소회의실 전면</t>
    </r>
    <r>
      <rPr>
        <sz val="11"/>
        <rFont val="Arial"/>
        <family val="0"/>
        <charset val="1"/>
      </rPr>
      <t xml:space="preserve">, SW '2000'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F-2 </t>
    </r>
    <r>
      <rPr>
        <sz val="11"/>
        <rFont val="Noto Sans CJK SC"/>
        <family val="2"/>
      </rPr>
      <t xml:space="preserve">전이선</t>
    </r>
    <r>
      <rPr>
        <sz val="11"/>
        <rFont val="Arial"/>
        <family val="0"/>
        <charset val="1"/>
      </rPr>
      <t xml:space="preserve">(SW x=893)~F-2 </t>
    </r>
    <r>
      <rPr>
        <sz val="11"/>
        <rFont val="Noto Sans CJK SC"/>
        <family val="2"/>
      </rPr>
      <t xml:space="preserve">전이선</t>
    </r>
    <r>
      <rPr>
        <sz val="11"/>
        <rFont val="Arial"/>
        <family val="0"/>
        <charset val="1"/>
      </rPr>
      <t xml:space="preserve">(SE x=603) </t>
    </r>
    <r>
      <rPr>
        <sz val="11"/>
        <rFont val="Noto Sans CJK SC"/>
        <family val="2"/>
      </rPr>
      <t xml:space="preserve">중 </t>
    </r>
    <r>
      <rPr>
        <sz val="11"/>
        <rFont val="Arial"/>
        <family val="0"/>
        <charset val="1"/>
      </rPr>
      <t xml:space="preserve">O.A RM </t>
    </r>
    <r>
      <rPr>
        <sz val="11"/>
        <rFont val="Noto Sans CJK SC"/>
        <family val="2"/>
      </rPr>
      <t xml:space="preserve">동벽</t>
    </r>
    <r>
      <rPr>
        <sz val="11"/>
        <rFont val="Arial"/>
        <family val="0"/>
        <charset val="1"/>
      </rPr>
      <t xml:space="preserve">(x=820)</t>
    </r>
    <r>
      <rPr>
        <sz val="11"/>
        <rFont val="Noto Sans CJK SC"/>
        <family val="2"/>
      </rPr>
      <t xml:space="preserve">부터 </t>
    </r>
    <r>
      <rPr>
        <sz val="11"/>
        <rFont val="Arial"/>
        <family val="0"/>
        <charset val="1"/>
      </rPr>
      <t xml:space="preserve">SE x=603</t>
    </r>
    <r>
      <rPr>
        <sz val="11"/>
        <rFont val="Noto Sans CJK SC"/>
        <family val="2"/>
      </rPr>
      <t xml:space="preserve">까지 약</t>
    </r>
    <r>
      <rPr>
        <sz val="11"/>
        <rFont val="Arial"/>
        <family val="0"/>
        <charset val="1"/>
      </rPr>
      <t xml:space="preserve">13.43m(</t>
    </r>
    <r>
      <rPr>
        <sz val="11"/>
        <rFont val="Noto Sans CJK SC"/>
        <family val="2"/>
      </rPr>
      <t xml:space="preserve">도면비례 추정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코어 하부벽</t>
    </r>
    <r>
      <rPr>
        <sz val="11"/>
        <rFont val="Arial"/>
        <family val="0"/>
        <charset val="1"/>
      </rPr>
      <t xml:space="preserve">9.27+</t>
    </r>
    <r>
      <rPr>
        <sz val="11"/>
        <rFont val="Noto Sans CJK SC"/>
        <family val="2"/>
      </rPr>
      <t xml:space="preserve">금고 전면</t>
    </r>
    <r>
      <rPr>
        <sz val="11"/>
        <rFont val="Arial"/>
        <family val="0"/>
        <charset val="1"/>
      </rPr>
      <t xml:space="preserve">1.9. </t>
    </r>
    <r>
      <rPr>
        <sz val="11"/>
        <rFont val="Noto Sans CJK SC"/>
        <family val="2"/>
      </rPr>
      <t xml:space="preserve">소회의실 전면 유리 제외 </t>
    </r>
    <r>
      <rPr>
        <sz val="11"/>
        <rFont val="Arial"/>
        <family val="0"/>
        <charset val="1"/>
      </rPr>
      <t xml:space="preserve">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복도 시작을 </t>
    </r>
    <r>
      <rPr>
        <sz val="11"/>
        <rFont val="Arial"/>
        <family val="0"/>
        <charset val="1"/>
      </rPr>
      <t xml:space="preserve">F-2 </t>
    </r>
    <r>
      <rPr>
        <sz val="11"/>
        <rFont val="Noto Sans CJK SC"/>
        <family val="2"/>
      </rPr>
      <t xml:space="preserve">전이선</t>
    </r>
    <r>
      <rPr>
        <sz val="11"/>
        <rFont val="Arial"/>
        <family val="0"/>
        <charset val="1"/>
      </rPr>
      <t xml:space="preserve">(SW x=893)</t>
    </r>
    <r>
      <rPr>
        <sz val="11"/>
        <rFont val="Noto Sans CJK SC"/>
        <family val="2"/>
      </rPr>
      <t xml:space="preserve">으로 변경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길이 </t>
    </r>
    <r>
      <rPr>
        <sz val="11"/>
        <rFont val="Arial"/>
        <family val="0"/>
        <charset val="1"/>
      </rPr>
      <t xml:space="preserve">12.41m(13.7mm/px) x 2000 = 24.82. OFFICE </t>
    </r>
    <r>
      <rPr>
        <sz val="11"/>
        <rFont val="Noto Sans CJK SC"/>
        <family val="2"/>
      </rPr>
      <t xml:space="preserve">서측 보조구역과의 중복 </t>
    </r>
    <r>
      <rPr>
        <sz val="11"/>
        <rFont val="Arial"/>
        <family val="0"/>
        <charset val="1"/>
      </rPr>
      <t xml:space="preserve">1.0x2.0 </t>
    </r>
    <r>
      <rPr>
        <sz val="11"/>
        <rFont val="Noto Sans CJK SC"/>
        <family val="2"/>
      </rPr>
      <t xml:space="preserve">제거</t>
    </r>
    <r>
      <rPr>
        <sz val="11"/>
        <rFont val="Arial"/>
        <family val="0"/>
        <charset val="1"/>
      </rPr>
      <t xml:space="preserve">(R4). </t>
    </r>
    <r>
      <rPr>
        <sz val="11"/>
        <rFont val="Noto Sans CJK SC"/>
        <family val="2"/>
      </rPr>
      <t xml:space="preserve">걸레받이 </t>
    </r>
    <r>
      <rPr>
        <sz val="11"/>
        <rFont val="Arial"/>
        <family val="0"/>
        <charset val="1"/>
      </rPr>
      <t xml:space="preserve">11.2 </t>
    </r>
    <r>
      <rPr>
        <sz val="11"/>
        <rFont val="Noto Sans CJK SC"/>
        <family val="2"/>
      </rPr>
      <t xml:space="preserve">유지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</si>
  <si>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이중계산 수정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26.86-&gt;24.82. v4</t>
    </r>
    <r>
      <rPr>
        <sz val="11"/>
        <rFont val="Noto Sans CJK SC"/>
        <family val="2"/>
      </rPr>
      <t xml:space="preserve">가 복도 시작을 </t>
    </r>
    <r>
      <rPr>
        <sz val="11"/>
        <rFont val="Arial"/>
        <family val="0"/>
        <charset val="1"/>
      </rPr>
      <t xml:space="preserve">O.A RM </t>
    </r>
    <r>
      <rPr>
        <sz val="11"/>
        <rFont val="Noto Sans CJK SC"/>
        <family val="2"/>
      </rPr>
      <t xml:space="preserve">동벽</t>
    </r>
    <r>
      <rPr>
        <sz val="11"/>
        <rFont val="Arial"/>
        <family val="0"/>
        <charset val="1"/>
      </rPr>
      <t xml:space="preserve">(SW x=820)</t>
    </r>
    <r>
      <rPr>
        <sz val="11"/>
        <rFont val="Noto Sans CJK SC"/>
        <family val="2"/>
      </rPr>
      <t xml:space="preserve">으로 잡았으나 </t>
    </r>
    <r>
      <rPr>
        <sz val="11"/>
        <rFont val="Arial"/>
        <family val="0"/>
        <charset val="1"/>
      </rPr>
      <t xml:space="preserve">OFFICE(DT-03) </t>
    </r>
    <r>
      <rPr>
        <sz val="11"/>
        <rFont val="Noto Sans CJK SC"/>
        <family val="2"/>
      </rPr>
      <t xml:space="preserve">보조구역</t>
    </r>
    <r>
      <rPr>
        <sz val="11"/>
        <rFont val="Arial"/>
        <family val="0"/>
        <charset val="1"/>
      </rPr>
      <t xml:space="preserve">(x 698~893, y 2000</t>
    </r>
    <r>
      <rPr>
        <sz val="11"/>
        <rFont val="Noto Sans CJK SC"/>
        <family val="2"/>
      </rPr>
      <t xml:space="preserve">폭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</t>
    </r>
    <r>
      <rPr>
        <sz val="11"/>
        <rFont val="Arial"/>
        <family val="0"/>
        <charset val="1"/>
      </rPr>
      <t xml:space="preserve">F-2 </t>
    </r>
    <r>
      <rPr>
        <sz val="11"/>
        <rFont val="Noto Sans CJK SC"/>
        <family val="2"/>
      </rPr>
      <t xml:space="preserve">전이선</t>
    </r>
    <r>
      <rPr>
        <sz val="11"/>
        <rFont val="Arial"/>
        <family val="0"/>
        <charset val="1"/>
      </rPr>
      <t xml:space="preserve">(SW x=893)</t>
    </r>
    <r>
      <rPr>
        <sz val="11"/>
        <rFont val="Noto Sans CJK SC"/>
        <family val="2"/>
      </rPr>
      <t xml:space="preserve">까지 이미 들어가 있어 </t>
    </r>
    <r>
      <rPr>
        <sz val="11"/>
        <rFont val="Arial"/>
        <family val="0"/>
        <charset val="1"/>
      </rPr>
      <t xml:space="preserve">x 820~893 </t>
    </r>
    <r>
      <rPr>
        <sz val="11"/>
        <rFont val="Noto Sans CJK SC"/>
        <family val="2"/>
      </rPr>
      <t xml:space="preserve">구간 약</t>
    </r>
    <r>
      <rPr>
        <sz val="11"/>
        <rFont val="Arial"/>
        <family val="0"/>
        <charset val="1"/>
      </rPr>
      <t xml:space="preserve">1.0m x 2.0m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OFFICE</t>
    </r>
    <r>
      <rPr>
        <sz val="11"/>
        <rFont val="Noto Sans CJK SC"/>
        <family val="2"/>
      </rPr>
      <t xml:space="preserve">와 겹쳤음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복도는 </t>
    </r>
    <r>
      <rPr>
        <sz val="11"/>
        <rFont val="Arial"/>
        <family val="0"/>
        <charset val="1"/>
      </rPr>
      <t xml:space="preserve">F-2 </t>
    </r>
    <r>
      <rPr>
        <sz val="11"/>
        <rFont val="Noto Sans CJK SC"/>
        <family val="2"/>
      </rPr>
      <t xml:space="preserve">전이선</t>
    </r>
    <r>
      <rPr>
        <sz val="11"/>
        <rFont val="Arial"/>
        <family val="0"/>
        <charset val="1"/>
      </rPr>
      <t xml:space="preserve">(SW x=893)</t>
    </r>
    <r>
      <rPr>
        <sz val="11"/>
        <rFont val="Noto Sans CJK SC"/>
        <family val="2"/>
      </rPr>
      <t xml:space="preserve">부터 동측 </t>
    </r>
    <r>
      <rPr>
        <sz val="11"/>
        <rFont val="Arial"/>
        <family val="0"/>
        <charset val="1"/>
      </rPr>
      <t xml:space="preserve">F-2(SE x=603)</t>
    </r>
    <r>
      <rPr>
        <sz val="11"/>
        <rFont val="Noto Sans CJK SC"/>
        <family val="2"/>
      </rPr>
      <t xml:space="preserve">까지 약</t>
    </r>
    <r>
      <rPr>
        <sz val="11"/>
        <rFont val="Arial"/>
        <family val="0"/>
        <charset val="1"/>
      </rPr>
      <t xml:space="preserve">12.41m</t>
    </r>
    <r>
      <rPr>
        <sz val="11"/>
        <rFont val="Noto Sans CJK SC"/>
        <family val="2"/>
      </rPr>
      <t xml:space="preserve">로 정정</t>
    </r>
    <r>
      <rPr>
        <sz val="11"/>
        <rFont val="Arial"/>
        <family val="0"/>
        <charset val="1"/>
      </rPr>
      <t xml:space="preserve">. | v6: </t>
    </r>
    <r>
      <rPr>
        <sz val="11"/>
        <rFont val="Noto Sans CJK SC"/>
        <family val="2"/>
      </rPr>
      <t xml:space="preserve">외벽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창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접면 없음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무수치 북벽 </t>
    </r>
    <r>
      <rPr>
        <sz val="11"/>
        <rFont val="Arial"/>
        <family val="0"/>
        <charset val="1"/>
      </rPr>
      <t xml:space="preserve">-&gt; </t>
    </r>
    <r>
      <rPr>
        <sz val="11"/>
        <rFont val="Noto Sans CJK SC"/>
        <family val="2"/>
      </rPr>
      <t xml:space="preserve">띠 변경 없음</t>
    </r>
  </si>
  <si>
    <r>
      <rPr>
        <sz val="11"/>
        <rFont val="Arial"/>
        <family val="0"/>
        <charset val="1"/>
      </rPr>
      <t xml:space="preserve">CORRIDOR </t>
    </r>
    <r>
      <rPr>
        <sz val="11"/>
        <rFont val="Noto Sans CJK SC"/>
        <family val="2"/>
      </rPr>
      <t xml:space="preserve">동측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코어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인권팀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</si>
  <si>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2F_dimension_SE: 1600(</t>
    </r>
    <r>
      <rPr>
        <sz val="11"/>
        <rFont val="Noto Sans CJK SC"/>
        <family val="2"/>
      </rPr>
      <t xml:space="preserve">코어 동측 덕트 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인권팀 서벽 숫자 </t>
    </r>
    <r>
      <rPr>
        <sz val="11"/>
        <rFont val="Arial"/>
        <family val="0"/>
        <charset val="1"/>
      </rPr>
      <t xml:space="preserve">'1600') x </t>
    </r>
    <r>
      <rPr>
        <sz val="11"/>
        <rFont val="Noto Sans CJK SC"/>
        <family val="2"/>
      </rPr>
      <t xml:space="preserve">길이 약</t>
    </r>
    <r>
      <rPr>
        <sz val="11"/>
        <rFont val="Arial"/>
        <family val="0"/>
        <charset val="1"/>
      </rPr>
      <t xml:space="preserve">7.63m(</t>
    </r>
    <r>
      <rPr>
        <sz val="11"/>
        <rFont val="Noto Sans CJK SC"/>
        <family val="2"/>
      </rPr>
      <t xml:space="preserve">코어 상단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남측 복도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도면비례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코어 동측벽 </t>
    </r>
    <r>
      <rPr>
        <sz val="11"/>
        <rFont val="Arial"/>
        <family val="0"/>
        <charset val="1"/>
      </rPr>
      <t xml:space="preserve">6.5 (</t>
    </r>
    <r>
      <rPr>
        <sz val="11"/>
        <rFont val="Noto Sans CJK SC"/>
        <family val="2"/>
      </rPr>
      <t xml:space="preserve">인권팀 서측은 유리 가정 </t>
    </r>
    <r>
      <rPr>
        <sz val="11"/>
        <rFont val="Arial"/>
        <family val="0"/>
        <charset val="1"/>
      </rPr>
      <t xml:space="preserve">0)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1600 x 7400 = 11.84. </t>
    </r>
    <r>
      <rPr>
        <sz val="11"/>
        <rFont val="Noto Sans CJK SC"/>
        <family val="2"/>
      </rPr>
      <t xml:space="preserve">남측 복도와 경계</t>
    </r>
    <r>
      <rPr>
        <sz val="11"/>
        <rFont val="Arial"/>
        <family val="0"/>
        <charset val="1"/>
      </rPr>
      <t xml:space="preserve">(SE y~452)</t>
    </r>
    <r>
      <rPr>
        <sz val="11"/>
        <rFont val="Noto Sans CJK SC"/>
        <family val="2"/>
      </rPr>
      <t xml:space="preserve">에서 겹치지 않음 확인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</si>
  <si>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길이 재측정 </t>
    </r>
    <r>
      <rPr>
        <sz val="11"/>
        <rFont val="Arial"/>
        <family val="0"/>
        <charset val="1"/>
      </rPr>
      <t xml:space="preserve">7.63-&gt;7.40m,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12.21-&gt;11.84. 2F_dimension_SE/NE</t>
    </r>
    <r>
      <rPr>
        <sz val="11"/>
        <rFont val="Noto Sans CJK SC"/>
        <family val="2"/>
      </rPr>
      <t xml:space="preserve">에서 코어 상단</t>
    </r>
    <r>
      <rPr>
        <sz val="11"/>
        <rFont val="Arial"/>
        <family val="0"/>
        <charset val="1"/>
      </rPr>
      <t xml:space="preserve">(NE y~790)~</t>
    </r>
    <r>
      <rPr>
        <sz val="11"/>
        <rFont val="Noto Sans CJK SC"/>
        <family val="2"/>
      </rPr>
      <t xml:space="preserve">남측 복도 상단</t>
    </r>
    <r>
      <rPr>
        <sz val="11"/>
        <rFont val="Arial"/>
        <family val="0"/>
        <charset val="1"/>
      </rPr>
      <t xml:space="preserve">(SE y~452)</t>
    </r>
    <r>
      <rPr>
        <sz val="11"/>
        <rFont val="Noto Sans CJK SC"/>
        <family val="2"/>
      </rPr>
      <t xml:space="preserve">을 </t>
    </r>
    <r>
      <rPr>
        <sz val="11"/>
        <rFont val="Arial"/>
        <family val="0"/>
        <charset val="1"/>
      </rPr>
      <t xml:space="preserve">13.7mm/px</t>
    </r>
    <r>
      <rPr>
        <sz val="11"/>
        <rFont val="Noto Sans CJK SC"/>
        <family val="2"/>
      </rPr>
      <t xml:space="preserve">로 재면 약</t>
    </r>
    <r>
      <rPr>
        <sz val="11"/>
        <rFont val="Arial"/>
        <family val="0"/>
        <charset val="1"/>
      </rPr>
      <t xml:space="preserve">7.4m. </t>
    </r>
    <r>
      <rPr>
        <sz val="11"/>
        <rFont val="Noto Sans CJK SC"/>
        <family val="2"/>
      </rPr>
      <t xml:space="preserve">인권팀 외곽 세로 </t>
    </r>
    <r>
      <rPr>
        <sz val="11"/>
        <rFont val="Arial"/>
        <family val="0"/>
        <charset val="1"/>
      </rPr>
      <t xml:space="preserve">7400</t>
    </r>
    <r>
      <rPr>
        <sz val="11"/>
        <rFont val="Noto Sans CJK SC"/>
        <family val="2"/>
      </rPr>
      <t xml:space="preserve">과도 정합</t>
    </r>
    <r>
      <rPr>
        <sz val="11"/>
        <rFont val="Arial"/>
        <family val="0"/>
        <charset val="1"/>
      </rPr>
      <t xml:space="preserve">. | v6: </t>
    </r>
    <r>
      <rPr>
        <sz val="11"/>
        <rFont val="Noto Sans CJK SC"/>
        <family val="2"/>
      </rPr>
      <t xml:space="preserve">외벽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창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접면 없음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무수치 북벽 </t>
    </r>
    <r>
      <rPr>
        <sz val="11"/>
        <rFont val="Arial"/>
        <family val="0"/>
        <charset val="1"/>
      </rPr>
      <t xml:space="preserve">-&gt; </t>
    </r>
    <r>
      <rPr>
        <sz val="11"/>
        <rFont val="Noto Sans CJK SC"/>
        <family val="2"/>
      </rPr>
      <t xml:space="preserve">띠 변경 없음</t>
    </r>
  </si>
  <si>
    <r>
      <rPr>
        <sz val="11"/>
        <rFont val="Arial"/>
        <family val="0"/>
        <charset val="1"/>
      </rPr>
      <t xml:space="preserve">ELE'V HALL + </t>
    </r>
    <r>
      <rPr>
        <sz val="11"/>
        <rFont val="Noto Sans CJK SC"/>
        <family val="2"/>
      </rPr>
      <t xml:space="preserve">북측 홀</t>
    </r>
  </si>
  <si>
    <r>
      <rPr>
        <sz val="11"/>
        <rFont val="Arial"/>
        <family val="0"/>
        <charset val="1"/>
      </rPr>
      <t xml:space="preserve">2F_dimension_NE: </t>
    </r>
    <r>
      <rPr>
        <sz val="11"/>
        <rFont val="Noto Sans CJK SC"/>
        <family val="2"/>
      </rPr>
      <t xml:space="preserve">홀 북동부 </t>
    </r>
    <r>
      <rPr>
        <sz val="11"/>
        <rFont val="Arial"/>
        <family val="0"/>
        <charset val="1"/>
      </rPr>
      <t xml:space="preserve">5413(</t>
    </r>
    <r>
      <rPr>
        <sz val="11"/>
        <rFont val="Noto Sans CJK SC"/>
        <family val="2"/>
      </rPr>
      <t xml:space="preserve">화장실</t>
    </r>
    <r>
      <rPr>
        <sz val="11"/>
        <rFont val="Arial"/>
        <family val="0"/>
        <charset val="1"/>
      </rPr>
      <t xml:space="preserve">M </t>
    </r>
    <r>
      <rPr>
        <sz val="11"/>
        <rFont val="Noto Sans CJK SC"/>
        <family val="2"/>
      </rPr>
      <t xml:space="preserve">동측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여직원 동벽</t>
    </r>
    <r>
      <rPr>
        <sz val="11"/>
        <rFont val="Arial"/>
        <family val="0"/>
        <charset val="1"/>
      </rPr>
      <t xml:space="preserve">) x 2000(</t>
    </r>
    <r>
      <rPr>
        <sz val="11"/>
        <rFont val="Noto Sans CJK SC"/>
        <family val="2"/>
      </rPr>
      <t xml:space="preserve">여직원 하단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인권팀 상단 </t>
    </r>
    <r>
      <rPr>
        <sz val="11"/>
        <rFont val="Arial"/>
        <family val="0"/>
        <charset val="1"/>
      </rPr>
      <t xml:space="preserve">'2000') = 10.83; </t>
    </r>
    <r>
      <rPr>
        <sz val="11"/>
        <rFont val="Noto Sans CJK SC"/>
        <family val="2"/>
      </rPr>
      <t xml:space="preserve">화장실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코어 상단 띠 </t>
    </r>
    <r>
      <rPr>
        <sz val="11"/>
        <rFont val="Arial"/>
        <family val="0"/>
        <charset val="1"/>
      </rPr>
      <t xml:space="preserve">6.49x1.51 = 9.80 (</t>
    </r>
    <r>
      <rPr>
        <sz val="11"/>
        <rFont val="Noto Sans CJK SC"/>
        <family val="2"/>
      </rPr>
      <t xml:space="preserve">폭은 그리드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도면비례</t>
    </r>
    <r>
      <rPr>
        <sz val="11"/>
        <rFont val="Arial"/>
        <family val="0"/>
        <charset val="1"/>
      </rPr>
      <t xml:space="preserve">); ELE'V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1.55x2.67 - </t>
    </r>
    <r>
      <rPr>
        <sz val="11"/>
        <rFont val="Noto Sans CJK SC"/>
        <family val="2"/>
      </rPr>
      <t xml:space="preserve">원형기둥</t>
    </r>
    <r>
      <rPr>
        <sz val="11"/>
        <rFont val="Arial"/>
        <family val="0"/>
        <charset val="1"/>
      </rPr>
      <t xml:space="preserve">(0.4) = 3.74 =&gt; 24.37. </t>
    </r>
    <r>
      <rPr>
        <sz val="11"/>
        <rFont val="Noto Sans CJK SC"/>
        <family val="2"/>
      </rPr>
      <t xml:space="preserve">걸레받이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화장실 하부벽 약</t>
    </r>
    <r>
      <rPr>
        <sz val="11"/>
        <rFont val="Arial"/>
        <family val="0"/>
        <charset val="1"/>
      </rPr>
      <t xml:space="preserve">11.3 + </t>
    </r>
    <r>
      <rPr>
        <sz val="11"/>
        <rFont val="Noto Sans CJK SC"/>
        <family val="2"/>
      </rPr>
      <t xml:space="preserve">코어 상단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인권팀 상단 </t>
    </r>
    <r>
      <rPr>
        <sz val="11"/>
        <rFont val="Arial"/>
        <family val="0"/>
        <charset val="1"/>
      </rPr>
      <t xml:space="preserve">3.3 +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3.0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17.6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북동부 </t>
    </r>
    <r>
      <rPr>
        <sz val="11"/>
        <rFont val="Arial"/>
        <family val="0"/>
        <charset val="1"/>
      </rPr>
      <t xml:space="preserve">5413x2000=10.83 + </t>
    </r>
    <r>
      <rPr>
        <sz val="11"/>
        <rFont val="Noto Sans CJK SC"/>
        <family val="2"/>
      </rPr>
      <t xml:space="preserve">화장실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코어 띠 </t>
    </r>
    <r>
      <rPr>
        <sz val="11"/>
        <rFont val="Arial"/>
        <family val="0"/>
        <charset val="1"/>
      </rPr>
      <t xml:space="preserve">6.49x1.51=9.80 + ELE'V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2.8x2.67-0.4=7.08 =&gt; 27.71.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: v4 17.6 + ELE'V </t>
    </r>
    <r>
      <rPr>
        <sz val="11"/>
        <rFont val="Noto Sans CJK SC"/>
        <family val="2"/>
      </rPr>
      <t xml:space="preserve">박스 서벽 </t>
    </r>
    <r>
      <rPr>
        <sz val="11"/>
        <rFont val="Arial"/>
        <family val="0"/>
        <charset val="1"/>
      </rPr>
      <t xml:space="preserve">2.7.</t>
    </r>
  </si>
  <si>
    <r>
      <rPr>
        <sz val="11"/>
        <rFont val="Arial"/>
        <family val="0"/>
        <charset val="1"/>
      </rPr>
      <t xml:space="preserve">ELE'V </t>
    </r>
    <r>
      <rPr>
        <sz val="11"/>
        <rFont val="Noto Sans CJK SC"/>
        <family val="2"/>
      </rPr>
      <t xml:space="preserve">서측 블록 폭 오류 수정</t>
    </r>
    <r>
      <rPr>
        <sz val="11"/>
        <rFont val="Arial"/>
        <family val="0"/>
        <charset val="1"/>
      </rPr>
      <t xml:space="preserve">. v4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1.55m</t>
    </r>
    <r>
      <rPr>
        <sz val="11"/>
        <rFont val="Noto Sans CJK SC"/>
        <family val="2"/>
      </rPr>
      <t xml:space="preserve">로 잡았으나 </t>
    </r>
    <r>
      <rPr>
        <sz val="11"/>
        <rFont val="Arial"/>
        <family val="0"/>
        <charset val="1"/>
      </rPr>
      <t xml:space="preserve">2F_dimension_NW</t>
    </r>
    <r>
      <rPr>
        <sz val="11"/>
        <rFont val="Noto Sans CJK SC"/>
        <family val="2"/>
      </rPr>
      <t xml:space="preserve">에서 서측 칸막이</t>
    </r>
    <r>
      <rPr>
        <sz val="11"/>
        <rFont val="Arial"/>
        <family val="0"/>
        <charset val="1"/>
      </rPr>
      <t xml:space="preserve">(x~975)~ELE'V </t>
    </r>
    <r>
      <rPr>
        <sz val="11"/>
        <rFont val="Noto Sans CJK SC"/>
        <family val="2"/>
      </rPr>
      <t xml:space="preserve">박스 서벽</t>
    </r>
    <r>
      <rPr>
        <sz val="11"/>
        <rFont val="Arial"/>
        <family val="0"/>
        <charset val="1"/>
      </rPr>
      <t xml:space="preserve">(x~1195)</t>
    </r>
    <r>
      <rPr>
        <sz val="11"/>
        <rFont val="Noto Sans CJK SC"/>
        <family val="2"/>
      </rPr>
      <t xml:space="preserve">이 약</t>
    </r>
    <r>
      <rPr>
        <sz val="11"/>
        <rFont val="Arial"/>
        <family val="0"/>
        <charset val="1"/>
      </rPr>
      <t xml:space="preserve">215px x 13.7 = 2.9m(</t>
    </r>
    <r>
      <rPr>
        <sz val="11"/>
        <rFont val="Noto Sans CJK SC"/>
        <family val="2"/>
      </rPr>
      <t xml:space="preserve">안목 약</t>
    </r>
    <r>
      <rPr>
        <sz val="11"/>
        <rFont val="Arial"/>
        <family val="0"/>
        <charset val="1"/>
      </rPr>
      <t xml:space="preserve">2.8m, 3F </t>
    </r>
    <r>
      <rPr>
        <sz val="11"/>
        <rFont val="Noto Sans CJK SC"/>
        <family val="2"/>
      </rPr>
      <t xml:space="preserve">동일 구조에서 </t>
    </r>
    <r>
      <rPr>
        <sz val="11"/>
        <rFont val="Arial"/>
        <family val="0"/>
        <charset val="1"/>
      </rPr>
      <t xml:space="preserve">v4</t>
    </r>
    <r>
      <rPr>
        <sz val="11"/>
        <rFont val="Noto Sans CJK SC"/>
        <family val="2"/>
      </rPr>
      <t xml:space="preserve">도 </t>
    </r>
    <r>
      <rPr>
        <sz val="11"/>
        <rFont val="Arial"/>
        <family val="0"/>
        <charset val="1"/>
      </rPr>
      <t xml:space="preserve">2.8 </t>
    </r>
    <r>
      <rPr>
        <sz val="11"/>
        <rFont val="Noto Sans CJK SC"/>
        <family val="2"/>
      </rPr>
      <t xml:space="preserve">사용</t>
    </r>
    <r>
      <rPr>
        <sz val="11"/>
        <rFont val="Arial"/>
        <family val="0"/>
        <charset val="1"/>
      </rPr>
      <t xml:space="preserve">). 2.8 x 2.67 - </t>
    </r>
    <r>
      <rPr>
        <sz val="11"/>
        <rFont val="Noto Sans CJK SC"/>
        <family val="2"/>
      </rPr>
      <t xml:space="preserve">원형기둥 </t>
    </r>
    <r>
      <rPr>
        <sz val="11"/>
        <rFont val="Arial"/>
        <family val="0"/>
        <charset val="1"/>
      </rPr>
      <t xml:space="preserve">0.4 = 7.08 </t>
    </r>
    <r>
      <rPr>
        <sz val="11"/>
        <rFont val="Noto Sans CJK SC"/>
        <family val="2"/>
      </rPr>
      <t xml:space="preserve">로 정정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24.36-&gt;27.71. </t>
    </r>
    <r>
      <rPr>
        <sz val="11"/>
        <rFont val="Noto Sans CJK SC"/>
        <family val="2"/>
      </rPr>
      <t xml:space="preserve">걸레받이는 </t>
    </r>
    <r>
      <rPr>
        <sz val="11"/>
        <rFont val="Arial"/>
        <family val="0"/>
        <charset val="1"/>
      </rPr>
      <t xml:space="preserve">ELE'V </t>
    </r>
    <r>
      <rPr>
        <sz val="11"/>
        <rFont val="Noto Sans CJK SC"/>
        <family val="2"/>
      </rPr>
      <t xml:space="preserve">박스 서벽 약</t>
    </r>
    <r>
      <rPr>
        <sz val="11"/>
        <rFont val="Arial"/>
        <family val="0"/>
        <charset val="1"/>
      </rPr>
      <t xml:space="preserve">2.7m </t>
    </r>
    <r>
      <rPr>
        <sz val="11"/>
        <rFont val="Noto Sans CJK SC"/>
        <family val="2"/>
      </rPr>
      <t xml:space="preserve">추가해 </t>
    </r>
    <r>
      <rPr>
        <sz val="11"/>
        <rFont val="Arial"/>
        <family val="0"/>
        <charset val="1"/>
      </rPr>
      <t xml:space="preserve">17.6-&gt;20.3. | v6: </t>
    </r>
    <r>
      <rPr>
        <sz val="11"/>
        <rFont val="Noto Sans CJK SC"/>
        <family val="2"/>
      </rPr>
      <t xml:space="preserve">외벽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창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접면 없음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무수치 북벽 </t>
    </r>
    <r>
      <rPr>
        <sz val="11"/>
        <rFont val="Arial"/>
        <family val="0"/>
        <charset val="1"/>
      </rPr>
      <t xml:space="preserve">-&gt; </t>
    </r>
    <r>
      <rPr>
        <sz val="11"/>
        <rFont val="Noto Sans CJK SC"/>
        <family val="2"/>
      </rPr>
      <t xml:space="preserve">띠 변경 없음</t>
    </r>
  </si>
  <si>
    <t xml:space="preserve">인권팀</t>
  </si>
  <si>
    <r>
      <rPr>
        <sz val="11"/>
        <rFont val="Arial"/>
        <family val="0"/>
        <charset val="1"/>
      </rPr>
      <t xml:space="preserve">2F_dimension_SE: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3490(</t>
    </r>
    <r>
      <rPr>
        <sz val="11"/>
        <rFont val="Noto Sans CJK SC"/>
        <family val="2"/>
      </rPr>
      <t xml:space="preserve">안목</t>
    </r>
    <r>
      <rPr>
        <sz val="11"/>
        <rFont val="Arial"/>
        <family val="0"/>
        <charset val="1"/>
      </rPr>
      <t xml:space="preserve">, 115 </t>
    </r>
    <r>
      <rPr>
        <sz val="11"/>
        <rFont val="Noto Sans CJK SC"/>
        <family val="2"/>
      </rPr>
      <t xml:space="preserve">벽 양쪽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5690+980+500=7170 (</t>
    </r>
    <r>
      <rPr>
        <sz val="11"/>
        <rFont val="Noto Sans CJK SC"/>
        <family val="2"/>
      </rPr>
      <t xml:space="preserve">외곽 </t>
    </r>
    <r>
      <rPr>
        <sz val="11"/>
        <rFont val="Arial"/>
        <family val="0"/>
        <charset val="1"/>
      </rPr>
      <t xml:space="preserve">7400-115x2). 3.49x7.17.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 고정벽 </t>
    </r>
    <r>
      <rPr>
        <sz val="11"/>
        <rFont val="Arial"/>
        <family val="0"/>
        <charset val="1"/>
      </rPr>
      <t xml:space="preserve">3.49x2 (</t>
    </r>
    <r>
      <rPr>
        <sz val="11"/>
        <rFont val="Noto Sans CJK SC"/>
        <family val="2"/>
      </rPr>
      <t xml:space="preserve">좌우는 얇은 단선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유리 가정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문 </t>
    </r>
    <r>
      <rPr>
        <sz val="11"/>
        <rFont val="Arial"/>
        <family val="0"/>
        <charset val="1"/>
      </rPr>
      <t xml:space="preserve">980 </t>
    </r>
    <r>
      <rPr>
        <sz val="11"/>
        <rFont val="Noto Sans CJK SC"/>
        <family val="2"/>
      </rPr>
      <t xml:space="preserve">동측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</si>
  <si>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OFFICE (</t>
    </r>
    <r>
      <rPr>
        <sz val="11"/>
        <rFont val="Noto Sans CJK SC"/>
        <family val="2"/>
      </rPr>
      <t xml:space="preserve">서측</t>
    </r>
    <r>
      <rPr>
        <sz val="11"/>
        <rFont val="Arial"/>
        <family val="0"/>
        <charset val="1"/>
      </rPr>
      <t xml:space="preserve">, 03 DT)</t>
    </r>
  </si>
  <si>
    <t xml:space="preserve">DT-03</t>
  </si>
  <si>
    <r>
      <rPr>
        <sz val="11"/>
        <rFont val="Arial"/>
        <family val="0"/>
        <charset val="1"/>
      </rPr>
      <t xml:space="preserve">2F_dimension_NW: 450|6830(</t>
    </r>
    <r>
      <rPr>
        <sz val="11"/>
        <rFont val="Noto Sans CJK SC"/>
        <family val="2"/>
      </rPr>
      <t xml:space="preserve">좌측 안목면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서버실</t>
    </r>
    <r>
      <rPr>
        <sz val="11"/>
        <rFont val="Arial"/>
        <family val="0"/>
        <charset val="1"/>
      </rPr>
      <t xml:space="preserve">/INFO</t>
    </r>
    <r>
      <rPr>
        <sz val="11"/>
        <rFont val="Noto Sans CJK SC"/>
        <family val="2"/>
      </rPr>
      <t xml:space="preserve">벽</t>
    </r>
    <r>
      <rPr>
        <sz val="11"/>
        <rFont val="Arial"/>
        <family val="0"/>
        <charset val="1"/>
      </rPr>
      <t xml:space="preserve">) x (2661+980+270+3078=6989) = 47.73; 2F_dimension_SW: 850+6350=7200(</t>
    </r>
    <r>
      <rPr>
        <sz val="11"/>
        <rFont val="Noto Sans CJK SC"/>
        <family val="2"/>
      </rPr>
      <t xml:space="preserve">안목</t>
    </r>
    <r>
      <rPr>
        <sz val="11"/>
        <rFont val="Arial"/>
        <family val="0"/>
        <charset val="1"/>
      </rPr>
      <t xml:space="preserve">~O.A RM </t>
    </r>
    <r>
      <rPr>
        <sz val="11"/>
        <rFont val="Noto Sans CJK SC"/>
        <family val="2"/>
      </rPr>
      <t xml:space="preserve">서측벽</t>
    </r>
    <r>
      <rPr>
        <sz val="11"/>
        <rFont val="Arial"/>
        <family val="0"/>
        <charset val="1"/>
      </rPr>
      <t xml:space="preserve">) x 12161(19150-6989) = 87.56; O.A RM </t>
    </r>
    <r>
      <rPr>
        <sz val="11"/>
        <rFont val="Noto Sans CJK SC"/>
        <family val="2"/>
      </rPr>
      <t xml:space="preserve">남측 보조구역 </t>
    </r>
    <r>
      <rPr>
        <sz val="11"/>
        <rFont val="Arial"/>
        <family val="0"/>
        <charset val="1"/>
      </rPr>
      <t xml:space="preserve">2.69x2.0(F-2 </t>
    </r>
    <r>
      <rPr>
        <sz val="11"/>
        <rFont val="Noto Sans CJK SC"/>
        <family val="2"/>
      </rPr>
      <t xml:space="preserve">전이선까지</t>
    </r>
    <r>
      <rPr>
        <sz val="11"/>
        <rFont val="Arial"/>
        <family val="0"/>
        <charset val="1"/>
      </rPr>
      <t xml:space="preserve">) 5.38 + </t>
    </r>
    <r>
      <rPr>
        <sz val="11"/>
        <rFont val="Noto Sans CJK SC"/>
        <family val="2"/>
      </rPr>
      <t xml:space="preserve">소회의실</t>
    </r>
    <r>
      <rPr>
        <sz val="11"/>
        <rFont val="Arial"/>
        <family val="0"/>
        <charset val="1"/>
      </rPr>
      <t xml:space="preserve">-1 </t>
    </r>
    <r>
      <rPr>
        <sz val="11"/>
        <rFont val="Noto Sans CJK SC"/>
        <family val="2"/>
      </rPr>
      <t xml:space="preserve">서측벽까지 </t>
    </r>
    <r>
      <rPr>
        <sz val="11"/>
        <rFont val="Arial"/>
        <family val="0"/>
        <charset val="1"/>
      </rPr>
      <t xml:space="preserve">1.71x3.56=6.09 + INFO/O.A </t>
    </r>
    <r>
      <rPr>
        <sz val="11"/>
        <rFont val="Noto Sans CJK SC"/>
        <family val="2"/>
      </rPr>
      <t xml:space="preserve">사이 </t>
    </r>
    <r>
      <rPr>
        <sz val="11"/>
        <rFont val="Arial"/>
        <family val="0"/>
        <charset val="1"/>
      </rPr>
      <t xml:space="preserve">1.71x1.99=3.40. </t>
    </r>
    <r>
      <rPr>
        <sz val="11"/>
        <rFont val="Noto Sans CJK SC"/>
        <family val="2"/>
      </rPr>
      <t xml:space="preserve">합</t>
    </r>
    <r>
      <rPr>
        <sz val="11"/>
        <rFont val="Arial"/>
        <family val="0"/>
        <charset val="1"/>
      </rPr>
      <t xml:space="preserve">150.15 - </t>
    </r>
    <r>
      <rPr>
        <sz val="11"/>
        <rFont val="Noto Sans CJK SC"/>
        <family val="2"/>
      </rPr>
      <t xml:space="preserve">독립기둥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0.5x0.5) 0.52 = 149.6. </t>
    </r>
    <r>
      <rPr>
        <sz val="11"/>
        <rFont val="Noto Sans CJK SC"/>
        <family val="2"/>
      </rPr>
      <t xml:space="preserve">서버실</t>
    </r>
    <r>
      <rPr>
        <sz val="11"/>
        <rFont val="Arial"/>
        <family val="0"/>
        <charset val="1"/>
      </rPr>
      <t xml:space="preserve">/INFO'MATION(</t>
    </r>
    <r>
      <rPr>
        <sz val="11"/>
        <rFont val="Noto Sans CJK SC"/>
        <family val="2"/>
      </rPr>
      <t xml:space="preserve">무코드</t>
    </r>
    <r>
      <rPr>
        <sz val="11"/>
        <rFont val="Arial"/>
        <family val="0"/>
        <charset val="1"/>
      </rPr>
      <t xml:space="preserve">)·O.A RM(</t>
    </r>
    <r>
      <rPr>
        <sz val="11"/>
        <rFont val="Noto Sans CJK SC"/>
        <family val="2"/>
      </rPr>
      <t xml:space="preserve">별도</t>
    </r>
    <r>
      <rPr>
        <sz val="11"/>
        <rFont val="Arial"/>
        <family val="0"/>
        <charset val="1"/>
      </rPr>
      <t xml:space="preserve">)·</t>
    </r>
    <r>
      <rPr>
        <sz val="11"/>
        <rFont val="Noto Sans CJK SC"/>
        <family val="2"/>
      </rPr>
      <t xml:space="preserve">복도 제외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북벽</t>
    </r>
    <r>
      <rPr>
        <sz val="11"/>
        <rFont val="Arial"/>
        <family val="0"/>
        <charset val="1"/>
      </rPr>
      <t xml:space="preserve">6.83+</t>
    </r>
    <r>
      <rPr>
        <sz val="11"/>
        <rFont val="Noto Sans CJK SC"/>
        <family val="2"/>
      </rPr>
      <t xml:space="preserve">외벽 불투명구간 약</t>
    </r>
    <r>
      <rPr>
        <sz val="11"/>
        <rFont val="Arial"/>
        <family val="0"/>
        <charset val="1"/>
      </rPr>
      <t xml:space="preserve">7.1+</t>
    </r>
    <r>
      <rPr>
        <sz val="11"/>
        <rFont val="Noto Sans CJK SC"/>
        <family val="2"/>
      </rPr>
      <t xml:space="preserve">서버실</t>
    </r>
    <r>
      <rPr>
        <sz val="11"/>
        <rFont val="Arial"/>
        <family val="0"/>
        <charset val="1"/>
      </rPr>
      <t xml:space="preserve">/INFO </t>
    </r>
    <r>
      <rPr>
        <sz val="11"/>
        <rFont val="Noto Sans CJK SC"/>
        <family val="2"/>
      </rPr>
      <t xml:space="preserve">서측벽</t>
    </r>
    <r>
      <rPr>
        <sz val="11"/>
        <rFont val="Arial"/>
        <family val="0"/>
        <charset val="1"/>
      </rPr>
      <t xml:space="preserve">6.99+O.A RM </t>
    </r>
    <r>
      <rPr>
        <sz val="11"/>
        <rFont val="Noto Sans CJK SC"/>
        <family val="2"/>
      </rPr>
      <t xml:space="preserve">서측벽</t>
    </r>
    <r>
      <rPr>
        <sz val="11"/>
        <rFont val="Arial"/>
        <family val="0"/>
        <charset val="1"/>
      </rPr>
      <t xml:space="preserve">(1441x2)2.88+O.A </t>
    </r>
    <r>
      <rPr>
        <sz val="11"/>
        <rFont val="Noto Sans CJK SC"/>
        <family val="2"/>
      </rPr>
      <t xml:space="preserve">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남벽 </t>
    </r>
    <r>
      <rPr>
        <sz val="11"/>
        <rFont val="Arial"/>
        <family val="0"/>
        <charset val="1"/>
      </rPr>
      <t xml:space="preserve">3.6+</t>
    </r>
    <r>
      <rPr>
        <sz val="11"/>
        <rFont val="Noto Sans CJK SC"/>
        <family val="2"/>
      </rPr>
      <t xml:space="preserve">소회의실</t>
    </r>
    <r>
      <rPr>
        <sz val="11"/>
        <rFont val="Arial"/>
        <family val="0"/>
        <charset val="1"/>
      </rPr>
      <t xml:space="preserve">-1 </t>
    </r>
    <r>
      <rPr>
        <sz val="11"/>
        <rFont val="Noto Sans CJK SC"/>
        <family val="2"/>
      </rPr>
      <t xml:space="preserve">서측벽</t>
    </r>
    <r>
      <rPr>
        <sz val="11"/>
        <rFont val="Arial"/>
        <family val="0"/>
        <charset val="1"/>
      </rPr>
      <t xml:space="preserve">3.6+</t>
    </r>
    <r>
      <rPr>
        <sz val="11"/>
        <rFont val="Noto Sans CJK SC"/>
        <family val="2"/>
      </rPr>
      <t xml:space="preserve">남측 불투명벽 </t>
    </r>
    <r>
      <rPr>
        <sz val="11"/>
        <rFont val="Arial"/>
        <family val="0"/>
        <charset val="1"/>
      </rPr>
      <t xml:space="preserve">6.1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37.1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2F_dimension_NW '450'(</t>
    </r>
    <r>
      <rPr>
        <sz val="11"/>
        <rFont val="Noto Sans CJK SC"/>
        <family val="2"/>
      </rPr>
      <t xml:space="preserve">창 내면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서측 길이 약</t>
    </r>
    <r>
      <rPr>
        <sz val="11"/>
        <rFont val="Arial"/>
        <family val="0"/>
        <charset val="1"/>
      </rPr>
      <t xml:space="preserve">18.64m(</t>
    </r>
    <r>
      <rPr>
        <sz val="11"/>
        <rFont val="Noto Sans CJK SC"/>
        <family val="2"/>
      </rPr>
      <t xml:space="preserve">그리드</t>
    </r>
    <r>
      <rPr>
        <sz val="11"/>
        <rFont val="Arial"/>
        <family val="0"/>
        <charset val="1"/>
      </rPr>
      <t xml:space="preserve">E~</t>
    </r>
    <r>
      <rPr>
        <sz val="11"/>
        <rFont val="Noto Sans CJK SC"/>
        <family val="2"/>
      </rPr>
      <t xml:space="preserve">마감 남단</t>
    </r>
    <r>
      <rPr>
        <sz val="11"/>
        <rFont val="Arial"/>
        <family val="0"/>
        <charset val="1"/>
      </rPr>
      <t xml:space="preserve">) + 2F_dimension_SW '555'(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남측 창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남측 길이 약</t>
    </r>
    <r>
      <rPr>
        <sz val="11"/>
        <rFont val="Arial"/>
        <family val="0"/>
        <charset val="1"/>
      </rPr>
      <t xml:space="preserve">9.21m(</t>
    </r>
    <r>
      <rPr>
        <sz val="11"/>
        <rFont val="Noto Sans CJK SC"/>
        <family val="2"/>
      </rPr>
      <t xml:space="preserve">서측 창 내면</t>
    </r>
    <r>
      <rPr>
        <sz val="11"/>
        <rFont val="Arial"/>
        <family val="0"/>
        <charset val="1"/>
      </rPr>
      <t xml:space="preserve">~O.A</t>
    </r>
    <r>
      <rPr>
        <sz val="11"/>
        <rFont val="Noto Sans CJK SC"/>
        <family val="2"/>
      </rPr>
      <t xml:space="preserve">측 보조벽 </t>
    </r>
    <r>
      <rPr>
        <sz val="11"/>
        <rFont val="Arial"/>
        <family val="0"/>
        <charset val="1"/>
      </rPr>
      <t xml:space="preserve">x810) - SW </t>
    </r>
    <r>
      <rPr>
        <sz val="11"/>
        <rFont val="Noto Sans CJK SC"/>
        <family val="2"/>
      </rPr>
      <t xml:space="preserve">모서리 기둥 약</t>
    </r>
    <r>
      <rPr>
        <sz val="11"/>
        <rFont val="Arial"/>
        <family val="0"/>
        <charset val="1"/>
      </rPr>
      <t xml:space="preserve">0.5x0.41.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450x18.64=+8.39 +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555x9.21=+5.11 +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=-0.21 = +13.29.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</si>
  <si>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+13.29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(2F_dimension_NW '450'(</t>
    </r>
    <r>
      <rPr>
        <sz val="11"/>
        <rFont val="Noto Sans CJK SC"/>
        <family val="2"/>
      </rPr>
      <t xml:space="preserve">창 내면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서측 길이 약</t>
    </r>
    <r>
      <rPr>
        <sz val="11"/>
        <rFont val="Arial"/>
        <family val="0"/>
        <charset val="1"/>
      </rPr>
      <t xml:space="preserve">18.64m(</t>
    </r>
    <r>
      <rPr>
        <sz val="11"/>
        <rFont val="Noto Sans CJK SC"/>
        <family val="2"/>
      </rPr>
      <t xml:space="preserve">그리드</t>
    </r>
    <r>
      <rPr>
        <sz val="11"/>
        <rFont val="Arial"/>
        <family val="0"/>
        <charset val="1"/>
      </rPr>
      <t xml:space="preserve">E~</t>
    </r>
    <r>
      <rPr>
        <sz val="11"/>
        <rFont val="Noto Sans CJK SC"/>
        <family val="2"/>
      </rPr>
      <t xml:space="preserve">마감 남단</t>
    </r>
    <r>
      <rPr>
        <sz val="11"/>
        <rFont val="Arial"/>
        <family val="0"/>
        <charset val="1"/>
      </rPr>
      <t xml:space="preserve">) + 2F_dimension_SW '555'(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남측 창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남측 길이 약</t>
    </r>
    <r>
      <rPr>
        <sz val="11"/>
        <rFont val="Arial"/>
        <family val="0"/>
        <charset val="1"/>
      </rPr>
      <t xml:space="preserve">9.21m(</t>
    </r>
    <r>
      <rPr>
        <sz val="11"/>
        <rFont val="Noto Sans CJK SC"/>
        <family val="2"/>
      </rPr>
      <t xml:space="preserve">서측 창 내면</t>
    </r>
    <r>
      <rPr>
        <sz val="11"/>
        <rFont val="Arial"/>
        <family val="0"/>
        <charset val="1"/>
      </rPr>
      <t xml:space="preserve">~O.A</t>
    </r>
    <r>
      <rPr>
        <sz val="11"/>
        <rFont val="Noto Sans CJK SC"/>
        <family val="2"/>
      </rPr>
      <t xml:space="preserve">측 보조벽 </t>
    </r>
    <r>
      <rPr>
        <sz val="11"/>
        <rFont val="Arial"/>
        <family val="0"/>
        <charset val="1"/>
      </rPr>
      <t xml:space="preserve">x810) - SW </t>
    </r>
    <r>
      <rPr>
        <sz val="11"/>
        <rFont val="Noto Sans CJK SC"/>
        <family val="2"/>
      </rPr>
      <t xml:space="preserve">모서리 기둥 약</t>
    </r>
    <r>
      <rPr>
        <sz val="11"/>
        <rFont val="Arial"/>
        <family val="0"/>
        <charset val="1"/>
      </rPr>
      <t xml:space="preserve">0.5x0.41).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149.64-&gt;162.93.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ok</t>
    </r>
  </si>
  <si>
    <r>
      <rPr>
        <sz val="11"/>
        <rFont val="Arial"/>
        <family val="0"/>
        <charset val="1"/>
      </rPr>
      <t xml:space="preserve">OFFICE (</t>
    </r>
    <r>
      <rPr>
        <sz val="11"/>
        <rFont val="Noto Sans CJK SC"/>
        <family val="2"/>
      </rPr>
      <t xml:space="preserve">동측</t>
    </r>
    <r>
      <rPr>
        <sz val="11"/>
        <rFont val="Arial"/>
        <family val="0"/>
        <charset val="1"/>
      </rPr>
      <t xml:space="preserve">, 03 DT)</t>
    </r>
  </si>
  <si>
    <r>
      <rPr>
        <sz val="11"/>
        <rFont val="Arial"/>
        <family val="0"/>
        <charset val="1"/>
      </rPr>
      <t xml:space="preserve">2F_dimension_NE: 7178(</t>
    </r>
    <r>
      <rPr>
        <sz val="11"/>
        <rFont val="Noto Sans CJK SC"/>
        <family val="2"/>
      </rPr>
      <t xml:space="preserve">여직원휴게실 동벽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동측 안목</t>
    </r>
    <r>
      <rPr>
        <sz val="11"/>
        <rFont val="Arial"/>
        <family val="0"/>
        <charset val="1"/>
      </rPr>
      <t xml:space="preserve">) x 6150(</t>
    </r>
    <r>
      <rPr>
        <sz val="11"/>
        <rFont val="Noto Sans CJK SC"/>
        <family val="2"/>
      </rPr>
      <t xml:space="preserve">북측 안목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인권팀 상단</t>
    </r>
    <r>
      <rPr>
        <sz val="11"/>
        <rFont val="Arial"/>
        <family val="0"/>
        <charset val="1"/>
      </rPr>
      <t xml:space="preserve">) = 44.14; </t>
    </r>
    <r>
      <rPr>
        <sz val="11"/>
        <rFont val="Noto Sans CJK SC"/>
        <family val="2"/>
      </rPr>
      <t xml:space="preserve">인권팀 동측</t>
    </r>
    <r>
      <rPr>
        <sz val="11"/>
        <rFont val="Arial"/>
        <family val="0"/>
        <charset val="1"/>
      </rPr>
      <t xml:space="preserve">(5137=</t>
    </r>
    <r>
      <rPr>
        <sz val="11"/>
        <rFont val="Noto Sans CJK SC"/>
        <family val="2"/>
      </rPr>
      <t xml:space="preserve">동안목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인권팀 동벽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도면비례</t>
    </r>
    <r>
      <rPr>
        <sz val="11"/>
        <rFont val="Arial"/>
        <family val="0"/>
        <charset val="1"/>
      </rPr>
      <t xml:space="preserve">) x 7400(</t>
    </r>
    <r>
      <rPr>
        <sz val="11"/>
        <rFont val="Noto Sans CJK SC"/>
        <family val="2"/>
      </rPr>
      <t xml:space="preserve">인권팀 외곽 세로 </t>
    </r>
    <r>
      <rPr>
        <sz val="11"/>
        <rFont val="Arial"/>
        <family val="0"/>
        <charset val="1"/>
      </rPr>
      <t xml:space="preserve">2F_dimension_SE) = 38.01; </t>
    </r>
    <r>
      <rPr>
        <sz val="11"/>
        <rFont val="Noto Sans CJK SC"/>
        <family val="2"/>
      </rPr>
      <t xml:space="preserve">인권팀 하부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5600(2F_dimension_SE) x 7973(F-2 </t>
    </r>
    <r>
      <rPr>
        <sz val="11"/>
        <rFont val="Noto Sans CJK SC"/>
        <family val="2"/>
      </rPr>
      <t xml:space="preserve">전이선 </t>
    </r>
    <r>
      <rPr>
        <sz val="11"/>
        <rFont val="Arial"/>
        <family val="0"/>
        <charset val="1"/>
      </rPr>
      <t xml:space="preserve">x=603~</t>
    </r>
    <r>
      <rPr>
        <sz val="11"/>
        <rFont val="Noto Sans CJK SC"/>
        <family val="2"/>
      </rPr>
      <t xml:space="preserve">동안목</t>
    </r>
    <r>
      <rPr>
        <sz val="11"/>
        <rFont val="Arial"/>
        <family val="0"/>
        <charset val="1"/>
      </rPr>
      <t xml:space="preserve">) = 44.65; </t>
    </r>
    <r>
      <rPr>
        <sz val="11"/>
        <rFont val="Noto Sans CJK SC"/>
        <family val="2"/>
      </rPr>
      <t xml:space="preserve">금고 동벽</t>
    </r>
    <r>
      <rPr>
        <sz val="11"/>
        <rFont val="Arial"/>
        <family val="0"/>
        <charset val="1"/>
      </rPr>
      <t xml:space="preserve">~F-2</t>
    </r>
    <r>
      <rPr>
        <sz val="11"/>
        <rFont val="Noto Sans CJK SC"/>
        <family val="2"/>
      </rPr>
      <t xml:space="preserve">선 </t>
    </r>
    <r>
      <rPr>
        <sz val="11"/>
        <rFont val="Arial"/>
        <family val="0"/>
        <charset val="1"/>
      </rPr>
      <t xml:space="preserve">0.93x3.59=3.34 =&gt; 130.14 -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0.78 = 129.4.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북벽</t>
    </r>
    <r>
      <rPr>
        <sz val="11"/>
        <rFont val="Arial"/>
        <family val="0"/>
        <charset val="1"/>
      </rPr>
      <t xml:space="preserve">7.18+</t>
    </r>
    <r>
      <rPr>
        <sz val="11"/>
        <rFont val="Noto Sans CJK SC"/>
        <family val="2"/>
      </rPr>
      <t xml:space="preserve">동측 외벽 불투명구간 </t>
    </r>
    <r>
      <rPr>
        <sz val="11"/>
        <rFont val="Arial"/>
        <family val="0"/>
        <charset val="1"/>
      </rPr>
      <t xml:space="preserve">7.2+</t>
    </r>
    <r>
      <rPr>
        <sz val="11"/>
        <rFont val="Noto Sans CJK SC"/>
        <family val="2"/>
      </rPr>
      <t xml:space="preserve">여직원 동벽</t>
    </r>
    <r>
      <rPr>
        <sz val="11"/>
        <rFont val="Arial"/>
        <family val="0"/>
        <charset val="1"/>
      </rPr>
      <t xml:space="preserve">4.05+</t>
    </r>
    <r>
      <rPr>
        <sz val="11"/>
        <rFont val="Noto Sans CJK SC"/>
        <family val="2"/>
      </rPr>
      <t xml:space="preserve">인권팀 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하벽</t>
    </r>
    <r>
      <rPr>
        <sz val="11"/>
        <rFont val="Arial"/>
        <family val="0"/>
        <charset val="1"/>
      </rPr>
      <t xml:space="preserve">4.0+</t>
    </r>
    <r>
      <rPr>
        <sz val="11"/>
        <rFont val="Noto Sans CJK SC"/>
        <family val="2"/>
      </rPr>
      <t xml:space="preserve">금고 동벽</t>
    </r>
    <r>
      <rPr>
        <sz val="11"/>
        <rFont val="Arial"/>
        <family val="0"/>
        <charset val="1"/>
      </rPr>
      <t xml:space="preserve">3.35+</t>
    </r>
    <r>
      <rPr>
        <sz val="11"/>
        <rFont val="Noto Sans CJK SC"/>
        <family val="2"/>
      </rPr>
      <t xml:space="preserve">남측 불투명 </t>
    </r>
    <r>
      <rPr>
        <sz val="11"/>
        <rFont val="Arial"/>
        <family val="0"/>
        <charset val="1"/>
      </rPr>
      <t xml:space="preserve">4.2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30.0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2F_dimension_NE '439'(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동측 창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동측 길이 약</t>
    </r>
    <r>
      <rPr>
        <sz val="11"/>
        <rFont val="Arial"/>
        <family val="0"/>
        <charset val="1"/>
      </rPr>
      <t xml:space="preserve">18.69m +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'555' x </t>
    </r>
    <r>
      <rPr>
        <sz val="11"/>
        <rFont val="Noto Sans CJK SC"/>
        <family val="2"/>
      </rPr>
      <t xml:space="preserve">금고 동벽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동측 창 약</t>
    </r>
    <r>
      <rPr>
        <sz val="11"/>
        <rFont val="Arial"/>
        <family val="0"/>
        <charset val="1"/>
      </rPr>
      <t xml:space="preserve">9.34m - SE </t>
    </r>
    <r>
      <rPr>
        <sz val="11"/>
        <rFont val="Noto Sans CJK SC"/>
        <family val="2"/>
      </rPr>
      <t xml:space="preserve">모서리 기둥 약</t>
    </r>
    <r>
      <rPr>
        <sz val="11"/>
        <rFont val="Arial"/>
        <family val="0"/>
        <charset val="1"/>
      </rPr>
      <t xml:space="preserve">0.5x0.41. </t>
    </r>
    <r>
      <rPr>
        <sz val="11"/>
        <rFont val="Noto Sans CJK SC"/>
        <family val="2"/>
      </rPr>
      <t xml:space="preserve">금고 남벽 바깥 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1.7x0.555)</t>
    </r>
    <r>
      <rPr>
        <sz val="11"/>
        <rFont val="Noto Sans CJK SC"/>
        <family val="2"/>
      </rPr>
      <t xml:space="preserve">는 실 밖이라 제외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동측 </t>
    </r>
    <r>
      <rPr>
        <sz val="11"/>
        <rFont val="Arial"/>
        <family val="0"/>
        <charset val="1"/>
      </rPr>
      <t xml:space="preserve">439x18.69=+8.21 +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555x9.34=+5.18 +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=-0.21 = +13.18.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</si>
  <si>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+13.18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(2F_dimension_NE '439'(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동측 창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동측 길이 약</t>
    </r>
    <r>
      <rPr>
        <sz val="11"/>
        <rFont val="Arial"/>
        <family val="0"/>
        <charset val="1"/>
      </rPr>
      <t xml:space="preserve">18.69m +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'555' x </t>
    </r>
    <r>
      <rPr>
        <sz val="11"/>
        <rFont val="Noto Sans CJK SC"/>
        <family val="2"/>
      </rPr>
      <t xml:space="preserve">금고 동벽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동측 창 약</t>
    </r>
    <r>
      <rPr>
        <sz val="11"/>
        <rFont val="Arial"/>
        <family val="0"/>
        <charset val="1"/>
      </rPr>
      <t xml:space="preserve">9.34m - SE </t>
    </r>
    <r>
      <rPr>
        <sz val="11"/>
        <rFont val="Noto Sans CJK SC"/>
        <family val="2"/>
      </rPr>
      <t xml:space="preserve">모서리 기둥 약</t>
    </r>
    <r>
      <rPr>
        <sz val="11"/>
        <rFont val="Arial"/>
        <family val="0"/>
        <charset val="1"/>
      </rPr>
      <t xml:space="preserve">0.5x0.41. </t>
    </r>
    <r>
      <rPr>
        <sz val="11"/>
        <rFont val="Noto Sans CJK SC"/>
        <family val="2"/>
      </rPr>
      <t xml:space="preserve">금고 남벽 바깥 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1.7x0.555)</t>
    </r>
    <r>
      <rPr>
        <sz val="11"/>
        <rFont val="Noto Sans CJK SC"/>
        <family val="2"/>
      </rPr>
      <t xml:space="preserve">는 실 밖이라 제외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129.37-&gt;142.55.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ok</t>
    </r>
  </si>
  <si>
    <t xml:space="preserve">3F</t>
  </si>
  <si>
    <t xml:space="preserve">정책조정실</t>
  </si>
  <si>
    <r>
      <rPr>
        <sz val="11"/>
        <rFont val="Arial"/>
        <family val="0"/>
        <charset val="1"/>
      </rPr>
      <t xml:space="preserve">3F_dimension_NW: 4000+1250=5250(</t>
    </r>
    <r>
      <rPr>
        <sz val="11"/>
        <rFont val="Noto Sans CJK SC"/>
        <family val="2"/>
      </rPr>
      <t xml:space="preserve">안목</t>
    </r>
    <r>
      <rPr>
        <sz val="11"/>
        <rFont val="Arial"/>
        <family val="0"/>
        <charset val="1"/>
      </rPr>
      <t xml:space="preserve">) x (3910+980=4890) = 25.67 + </t>
    </r>
    <r>
      <rPr>
        <sz val="11"/>
        <rFont val="Noto Sans CJK SC"/>
        <family val="2"/>
      </rPr>
      <t xml:space="preserve">하부 노치부 </t>
    </r>
    <r>
      <rPr>
        <sz val="11"/>
        <rFont val="Arial"/>
        <family val="0"/>
        <charset val="1"/>
      </rPr>
      <t xml:space="preserve">4000x559 = 2.24 =&gt; 27.91.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북</t>
    </r>
    <r>
      <rPr>
        <sz val="11"/>
        <rFont val="Arial"/>
        <family val="0"/>
        <charset val="1"/>
      </rPr>
      <t xml:space="preserve">5.25+</t>
    </r>
    <r>
      <rPr>
        <sz val="11"/>
        <rFont val="Noto Sans CJK SC"/>
        <family val="2"/>
      </rPr>
      <t xml:space="preserve">서 불투명외벽 </t>
    </r>
    <r>
      <rPr>
        <sz val="11"/>
        <rFont val="Arial"/>
        <family val="0"/>
        <charset val="1"/>
      </rPr>
      <t xml:space="preserve">3.7+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4.0+</t>
    </r>
    <r>
      <rPr>
        <sz val="11"/>
        <rFont val="Noto Sans CJK SC"/>
        <family val="2"/>
      </rPr>
      <t xml:space="preserve">동 </t>
    </r>
    <r>
      <rPr>
        <sz val="11"/>
        <rFont val="Arial"/>
        <family val="0"/>
        <charset val="1"/>
      </rPr>
      <t xml:space="preserve">3.91+</t>
    </r>
    <r>
      <rPr>
        <sz val="11"/>
        <rFont val="Noto Sans CJK SC"/>
        <family val="2"/>
      </rPr>
      <t xml:space="preserve">기타 </t>
    </r>
    <r>
      <rPr>
        <sz val="11"/>
        <rFont val="Arial"/>
        <family val="0"/>
        <charset val="1"/>
      </rPr>
      <t xml:space="preserve">0.76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3F_dimension_NW </t>
    </r>
    <r>
      <rPr>
        <sz val="11"/>
        <rFont val="Noto Sans CJK SC"/>
        <family val="2"/>
      </rPr>
      <t xml:space="preserve">서측 창 내면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(2F_dimension_NW '450'</t>
    </r>
    <r>
      <rPr>
        <sz val="11"/>
        <rFont val="Noto Sans CJK SC"/>
        <family val="2"/>
      </rPr>
      <t xml:space="preserve">과 동일 외벽 구조</t>
    </r>
    <r>
      <rPr>
        <sz val="11"/>
        <rFont val="Arial"/>
        <family val="0"/>
        <charset val="1"/>
      </rPr>
      <t xml:space="preserve">, 3F</t>
    </r>
    <r>
      <rPr>
        <sz val="11"/>
        <rFont val="Noto Sans CJK SC"/>
        <family val="2"/>
      </rPr>
      <t xml:space="preserve">는 숫자 미기재라 화면 약</t>
    </r>
    <r>
      <rPr>
        <sz val="11"/>
        <rFont val="Arial"/>
        <family val="0"/>
        <charset val="1"/>
      </rPr>
      <t xml:space="preserve">35px=480mm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450 </t>
    </r>
    <r>
      <rPr>
        <sz val="11"/>
        <rFont val="Noto Sans CJK SC"/>
        <family val="2"/>
      </rPr>
      <t xml:space="preserve">준용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서측 길이 약</t>
    </r>
    <r>
      <rPr>
        <sz val="11"/>
        <rFont val="Arial"/>
        <family val="0"/>
        <charset val="1"/>
      </rPr>
      <t xml:space="preserve">5.0m.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450x5.0=+2.25 = +2.25.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</si>
  <si>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+2.25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(3F_dimension_NW </t>
    </r>
    <r>
      <rPr>
        <sz val="11"/>
        <rFont val="Noto Sans CJK SC"/>
        <family val="2"/>
      </rPr>
      <t xml:space="preserve">서측 창 내면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(2F_dimension_NW '450'</t>
    </r>
    <r>
      <rPr>
        <sz val="11"/>
        <rFont val="Noto Sans CJK SC"/>
        <family val="2"/>
      </rPr>
      <t xml:space="preserve">과 동일 외벽 구조</t>
    </r>
    <r>
      <rPr>
        <sz val="11"/>
        <rFont val="Arial"/>
        <family val="0"/>
        <charset val="1"/>
      </rPr>
      <t xml:space="preserve">, 3F</t>
    </r>
    <r>
      <rPr>
        <sz val="11"/>
        <rFont val="Noto Sans CJK SC"/>
        <family val="2"/>
      </rPr>
      <t xml:space="preserve">는 숫자 미기재라 화면 약</t>
    </r>
    <r>
      <rPr>
        <sz val="11"/>
        <rFont val="Arial"/>
        <family val="0"/>
        <charset val="1"/>
      </rPr>
      <t xml:space="preserve">35px=480mm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450 </t>
    </r>
    <r>
      <rPr>
        <sz val="11"/>
        <rFont val="Noto Sans CJK SC"/>
        <family val="2"/>
      </rPr>
      <t xml:space="preserve">준용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서측 길이 약</t>
    </r>
    <r>
      <rPr>
        <sz val="11"/>
        <rFont val="Arial"/>
        <family val="0"/>
        <charset val="1"/>
      </rPr>
      <t xml:space="preserve">5.0m).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27.91-&gt;30.16.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ok</t>
    </r>
  </si>
  <si>
    <t xml:space="preserve">사무총장실</t>
  </si>
  <si>
    <r>
      <rPr>
        <sz val="11"/>
        <rFont val="Arial"/>
        <family val="0"/>
        <charset val="1"/>
      </rPr>
      <t xml:space="preserve">3F_dimension_NW: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4200+250+980+320=5750 </t>
    </r>
    <r>
      <rPr>
        <sz val="11"/>
        <rFont val="Noto Sans CJK SC"/>
        <family val="2"/>
      </rPr>
      <t xml:space="preserve">에서 차음벽 조립 약</t>
    </r>
    <r>
      <rPr>
        <sz val="11"/>
        <rFont val="Arial"/>
        <family val="0"/>
        <charset val="1"/>
      </rPr>
      <t xml:space="preserve">150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=5600,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3910(</t>
    </r>
    <r>
      <rPr>
        <sz val="11"/>
        <rFont val="Noto Sans CJK SC"/>
        <family val="2"/>
      </rPr>
      <t xml:space="preserve">서벽 길이</t>
    </r>
    <r>
      <rPr>
        <sz val="11"/>
        <rFont val="Arial"/>
        <family val="0"/>
        <charset val="1"/>
      </rPr>
      <t xml:space="preserve">)-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250(</t>
    </r>
    <r>
      <rPr>
        <sz val="11"/>
        <rFont val="Noto Sans CJK SC"/>
        <family val="2"/>
      </rPr>
      <t xml:space="preserve">하부 붙박이장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차음벽</t>
    </r>
    <r>
      <rPr>
        <sz val="11"/>
        <rFont val="Arial"/>
        <family val="0"/>
        <charset val="1"/>
      </rPr>
      <t xml:space="preserve">)=3660. 5.6x3.66.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북</t>
    </r>
    <r>
      <rPr>
        <sz val="11"/>
        <rFont val="Arial"/>
        <family val="0"/>
        <charset val="1"/>
      </rPr>
      <t xml:space="preserve">5.6+</t>
    </r>
    <r>
      <rPr>
        <sz val="11"/>
        <rFont val="Noto Sans CJK SC"/>
        <family val="2"/>
      </rPr>
      <t xml:space="preserve">서</t>
    </r>
    <r>
      <rPr>
        <sz val="11"/>
        <rFont val="Arial"/>
        <family val="0"/>
        <charset val="1"/>
      </rPr>
      <t xml:space="preserve">3.66+</t>
    </r>
    <r>
      <rPr>
        <sz val="11"/>
        <rFont val="Noto Sans CJK SC"/>
        <family val="2"/>
      </rPr>
      <t xml:space="preserve">동</t>
    </r>
    <r>
      <rPr>
        <sz val="11"/>
        <rFont val="Arial"/>
        <family val="0"/>
        <charset val="1"/>
      </rPr>
      <t xml:space="preserve">3.66+</t>
    </r>
    <r>
      <rPr>
        <sz val="11"/>
        <rFont val="Noto Sans CJK SC"/>
        <family val="2"/>
      </rPr>
      <t xml:space="preserve">남 개구 제외 </t>
    </r>
    <r>
      <rPr>
        <sz val="11"/>
        <rFont val="Arial"/>
        <family val="0"/>
        <charset val="1"/>
      </rPr>
      <t xml:space="preserve">0.6</t>
    </r>
  </si>
  <si>
    <t xml:space="preserve">사무국장실</t>
  </si>
  <si>
    <r>
      <rPr>
        <sz val="11"/>
        <rFont val="Arial"/>
        <family val="0"/>
        <charset val="1"/>
      </rPr>
      <t xml:space="preserve">3F_dimension_SW: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980+300+2104=3384,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3895(3F_dimension_SE '3895').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서</t>
    </r>
    <r>
      <rPr>
        <sz val="11"/>
        <rFont val="Arial"/>
        <family val="0"/>
        <charset val="1"/>
      </rPr>
      <t xml:space="preserve">3.895+</t>
    </r>
    <r>
      <rPr>
        <sz val="11"/>
        <rFont val="Noto Sans CJK SC"/>
        <family val="2"/>
      </rPr>
      <t xml:space="preserve">동</t>
    </r>
    <r>
      <rPr>
        <sz val="11"/>
        <rFont val="Arial"/>
        <family val="0"/>
        <charset val="1"/>
      </rPr>
      <t xml:space="preserve">3.895+</t>
    </r>
    <r>
      <rPr>
        <sz val="11"/>
        <rFont val="Noto Sans CJK SC"/>
        <family val="2"/>
      </rPr>
      <t xml:space="preserve">남 불투명 </t>
    </r>
    <r>
      <rPr>
        <sz val="11"/>
        <rFont val="Arial"/>
        <family val="0"/>
        <charset val="1"/>
      </rPr>
      <t xml:space="preserve">1.8 (</t>
    </r>
    <r>
      <rPr>
        <sz val="11"/>
        <rFont val="Noto Sans CJK SC"/>
        <family val="2"/>
      </rPr>
      <t xml:space="preserve">전면 유리 제외</t>
    </r>
    <r>
      <rPr>
        <sz val="11"/>
        <rFont val="Arial"/>
        <family val="0"/>
        <charset val="1"/>
      </rPr>
      <t xml:space="preserve">)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3F_dimension_SW/SE '3895'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3384 - </t>
    </r>
    <r>
      <rPr>
        <sz val="11"/>
        <rFont val="Noto Sans CJK SC"/>
        <family val="2"/>
      </rPr>
      <t xml:space="preserve">기둥 약</t>
    </r>
    <r>
      <rPr>
        <sz val="11"/>
        <rFont val="Arial"/>
        <family val="0"/>
        <charset val="1"/>
      </rPr>
      <t xml:space="preserve">0.21.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550x3.384=+1.86 +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=-0.21 = +1.65.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</si>
  <si>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+1.65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(3F_dimension_SW/SE '3895'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3384 - </t>
    </r>
    <r>
      <rPr>
        <sz val="11"/>
        <rFont val="Noto Sans CJK SC"/>
        <family val="2"/>
      </rPr>
      <t xml:space="preserve">기둥 약</t>
    </r>
    <r>
      <rPr>
        <sz val="11"/>
        <rFont val="Arial"/>
        <family val="0"/>
        <charset val="1"/>
      </rPr>
      <t xml:space="preserve">0.21).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13.18-&gt;14.83.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ok</t>
    </r>
  </si>
  <si>
    <r>
      <rPr>
        <sz val="11"/>
        <rFont val="Noto Sans CJK SC"/>
        <family val="2"/>
      </rPr>
      <t xml:space="preserve">중회의실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임원휴게실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</si>
  <si>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3F_dimension_SE/SW: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3198,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3895.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서측벽 </t>
    </r>
    <r>
      <rPr>
        <sz val="11"/>
        <rFont val="Arial"/>
        <family val="0"/>
        <charset val="1"/>
      </rPr>
      <t xml:space="preserve">3.895+</t>
    </r>
    <r>
      <rPr>
        <sz val="11"/>
        <rFont val="Noto Sans CJK SC"/>
        <family val="2"/>
      </rPr>
      <t xml:space="preserve">동측 폴딩 칸막이 </t>
    </r>
    <r>
      <rPr>
        <sz val="11"/>
        <rFont val="Arial"/>
        <family val="0"/>
        <charset val="1"/>
      </rPr>
      <t xml:space="preserve">3.895 (</t>
    </r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)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서측 고정벽 </t>
    </r>
    <r>
      <rPr>
        <sz val="11"/>
        <rFont val="Arial"/>
        <family val="0"/>
        <charset val="1"/>
      </rPr>
      <t xml:space="preserve">3.895 (</t>
    </r>
    <r>
      <rPr>
        <sz val="11"/>
        <rFont val="Noto Sans CJK SC"/>
        <family val="2"/>
      </rPr>
      <t xml:space="preserve">동측 폴딩도어 제외</t>
    </r>
    <r>
      <rPr>
        <sz val="11"/>
        <rFont val="Arial"/>
        <family val="0"/>
        <charset val="1"/>
      </rPr>
      <t xml:space="preserve">).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3F_dimension_SE '3895'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3198 (</t>
    </r>
    <r>
      <rPr>
        <sz val="11"/>
        <rFont val="Noto Sans CJK SC"/>
        <family val="2"/>
      </rPr>
      <t xml:space="preserve">기둥 없음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550x3.198=+1.76 = +1.76.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</si>
  <si>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+1.76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(3F_dimension_SE '3895'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3198 (</t>
    </r>
    <r>
      <rPr>
        <sz val="11"/>
        <rFont val="Noto Sans CJK SC"/>
        <family val="2"/>
      </rPr>
      <t xml:space="preserve">기둥 없음</t>
    </r>
    <r>
      <rPr>
        <sz val="11"/>
        <rFont val="Arial"/>
        <family val="0"/>
        <charset val="1"/>
      </rPr>
      <t xml:space="preserve">)).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12.46-&gt;14.22.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</t>
    </r>
    <r>
      <rPr>
        <sz val="11"/>
        <rFont val="Noto Sans CJK SC"/>
        <family val="2"/>
      </rPr>
      <t xml:space="preserve">걸레받이 수정 </t>
    </r>
    <r>
      <rPr>
        <sz val="11"/>
        <rFont val="Arial"/>
        <family val="0"/>
        <charset val="1"/>
      </rPr>
      <t xml:space="preserve">7.79-&gt;3.9. </t>
    </r>
    <r>
      <rPr>
        <sz val="11"/>
        <rFont val="Noto Sans CJK SC"/>
        <family val="2"/>
      </rPr>
      <t xml:space="preserve">동측 폴딩도어</t>
    </r>
    <r>
      <rPr>
        <sz val="11"/>
        <rFont val="Arial"/>
        <family val="0"/>
        <charset val="1"/>
      </rPr>
      <t xml:space="preserve">(ESC-04)</t>
    </r>
    <r>
      <rPr>
        <sz val="11"/>
        <rFont val="Noto Sans CJK SC"/>
        <family val="2"/>
      </rPr>
      <t xml:space="preserve">는 걸레받이 없음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서측 사무국장실 칸막이 고정벽 </t>
    </r>
    <r>
      <rPr>
        <sz val="11"/>
        <rFont val="Arial"/>
        <family val="0"/>
        <charset val="1"/>
      </rPr>
      <t xml:space="preserve">3.895</t>
    </r>
    <r>
      <rPr>
        <sz val="11"/>
        <rFont val="Noto Sans CJK SC"/>
        <family val="2"/>
      </rPr>
      <t xml:space="preserve">만 인정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</si>
  <si>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중회의실</t>
    </r>
    <r>
      <rPr>
        <sz val="11"/>
        <rFont val="Arial"/>
        <family val="0"/>
        <charset val="1"/>
      </rPr>
      <t xml:space="preserve">-1</t>
    </r>
  </si>
  <si>
    <r>
      <rPr>
        <sz val="11"/>
        <rFont val="Arial"/>
        <family val="0"/>
        <charset val="1"/>
      </rPr>
      <t xml:space="preserve">3F_dimension_SE: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3198,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3895.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양측 폴딩 칸막이 </t>
    </r>
    <r>
      <rPr>
        <sz val="11"/>
        <rFont val="Arial"/>
        <family val="0"/>
        <charset val="1"/>
      </rPr>
      <t xml:space="preserve">3.895x2 (</t>
    </r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)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양측 폴딩도어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전면 유리 </t>
    </r>
    <r>
      <rPr>
        <sz val="11"/>
        <rFont val="Arial"/>
        <family val="0"/>
        <charset val="1"/>
      </rPr>
      <t xml:space="preserve">=&gt; 0.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3F_dimension_SE '3895'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3198 - </t>
    </r>
    <r>
      <rPr>
        <sz val="11"/>
        <rFont val="Noto Sans CJK SC"/>
        <family val="2"/>
      </rPr>
      <t xml:space="preserve">기둥 약</t>
    </r>
    <r>
      <rPr>
        <sz val="11"/>
        <rFont val="Arial"/>
        <family val="0"/>
        <charset val="1"/>
      </rPr>
      <t xml:space="preserve">0.21.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550x3.198=+1.76 +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=-0.21 = +1.55.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</si>
  <si>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+1.55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(3F_dimension_SE '3895'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3198 - </t>
    </r>
    <r>
      <rPr>
        <sz val="11"/>
        <rFont val="Noto Sans CJK SC"/>
        <family val="2"/>
      </rPr>
      <t xml:space="preserve">기둥 약</t>
    </r>
    <r>
      <rPr>
        <sz val="11"/>
        <rFont val="Arial"/>
        <family val="0"/>
        <charset val="1"/>
      </rPr>
      <t xml:space="preserve">0.21).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12.46-&gt;14.01.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</t>
    </r>
    <r>
      <rPr>
        <sz val="11"/>
        <rFont val="Noto Sans CJK SC"/>
        <family val="2"/>
      </rPr>
      <t xml:space="preserve">걸레받이 수정 </t>
    </r>
    <r>
      <rPr>
        <sz val="11"/>
        <rFont val="Arial"/>
        <family val="0"/>
        <charset val="1"/>
      </rPr>
      <t xml:space="preserve">7.79-&gt;0. </t>
    </r>
    <r>
      <rPr>
        <sz val="11"/>
        <rFont val="Noto Sans CJK SC"/>
        <family val="2"/>
      </rPr>
      <t xml:space="preserve">양측 폴딩도어 칸막이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전면 유리 </t>
    </r>
    <r>
      <rPr>
        <sz val="11"/>
        <rFont val="Arial"/>
        <family val="0"/>
        <charset val="1"/>
      </rPr>
      <t xml:space="preserve">=&gt; </t>
    </r>
    <r>
      <rPr>
        <sz val="11"/>
        <rFont val="Noto Sans CJK SC"/>
        <family val="2"/>
      </rPr>
      <t xml:space="preserve">벽 구간 없음</t>
    </r>
    <r>
      <rPr>
        <sz val="11"/>
        <rFont val="Arial"/>
        <family val="0"/>
        <charset val="1"/>
      </rPr>
      <t xml:space="preserve">.</t>
    </r>
  </si>
  <si>
    <t xml:space="preserve">대회의실</t>
  </si>
  <si>
    <r>
      <rPr>
        <sz val="11"/>
        <rFont val="Arial"/>
        <family val="0"/>
        <charset val="1"/>
      </rPr>
      <t xml:space="preserve">3F_dimension_SE: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5098,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3895.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서측 폴딩 </t>
    </r>
    <r>
      <rPr>
        <sz val="11"/>
        <rFont val="Arial"/>
        <family val="0"/>
        <charset val="1"/>
      </rPr>
      <t xml:space="preserve">3.895+</t>
    </r>
    <r>
      <rPr>
        <sz val="11"/>
        <rFont val="Noto Sans CJK SC"/>
        <family val="2"/>
      </rPr>
      <t xml:space="preserve">동측 고정벽 </t>
    </r>
    <r>
      <rPr>
        <sz val="11"/>
        <rFont val="Arial"/>
        <family val="0"/>
        <charset val="1"/>
      </rPr>
      <t xml:space="preserve">3.895 || [v5 </t>
    </r>
    <r>
      <rPr>
        <sz val="11"/>
        <rFont val="Noto Sans CJK SC"/>
        <family val="2"/>
      </rPr>
      <t xml:space="preserve">수정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동측 고정벽 </t>
    </r>
    <r>
      <rPr>
        <sz val="11"/>
        <rFont val="Arial"/>
        <family val="0"/>
        <charset val="1"/>
      </rPr>
      <t xml:space="preserve">3.895 (</t>
    </r>
    <r>
      <rPr>
        <sz val="11"/>
        <rFont val="Noto Sans CJK SC"/>
        <family val="2"/>
      </rPr>
      <t xml:space="preserve">서측 폴딩도어 제외</t>
    </r>
    <r>
      <rPr>
        <sz val="11"/>
        <rFont val="Arial"/>
        <family val="0"/>
        <charset val="1"/>
      </rPr>
      <t xml:space="preserve">).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3F_dimension_SE '3895'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5098 (</t>
    </r>
    <r>
      <rPr>
        <sz val="11"/>
        <rFont val="Noto Sans CJK SC"/>
        <family val="2"/>
      </rPr>
      <t xml:space="preserve">기둥 없음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550x5.098=+2.80 = +2.80.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</si>
  <si>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+2.80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(3F_dimension_SE '3895' </t>
    </r>
    <r>
      <rPr>
        <sz val="11"/>
        <rFont val="Noto Sans CJK SC"/>
        <family val="2"/>
      </rPr>
      <t xml:space="preserve">끝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5098 (</t>
    </r>
    <r>
      <rPr>
        <sz val="11"/>
        <rFont val="Noto Sans CJK SC"/>
        <family val="2"/>
      </rPr>
      <t xml:space="preserve">기둥 없음</t>
    </r>
    <r>
      <rPr>
        <sz val="11"/>
        <rFont val="Arial"/>
        <family val="0"/>
        <charset val="1"/>
      </rPr>
      <t xml:space="preserve">)).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19.86-&gt;22.66.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</t>
    </r>
    <r>
      <rPr>
        <sz val="11"/>
        <rFont val="Noto Sans CJK SC"/>
        <family val="2"/>
      </rPr>
      <t xml:space="preserve">걸레받이 수정 </t>
    </r>
    <r>
      <rPr>
        <sz val="11"/>
        <rFont val="Arial"/>
        <family val="0"/>
        <charset val="1"/>
      </rPr>
      <t xml:space="preserve">7.79-&gt;3.9. </t>
    </r>
    <r>
      <rPr>
        <sz val="11"/>
        <rFont val="Noto Sans CJK SC"/>
        <family val="2"/>
      </rPr>
      <t xml:space="preserve">서측 폴딩도어 제외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동측 고정벽 </t>
    </r>
    <r>
      <rPr>
        <sz val="11"/>
        <rFont val="Arial"/>
        <family val="0"/>
        <charset val="1"/>
      </rPr>
      <t xml:space="preserve">3.895</t>
    </r>
    <r>
      <rPr>
        <sz val="11"/>
        <rFont val="Noto Sans CJK SC"/>
        <family val="2"/>
      </rPr>
      <t xml:space="preserve">만 인정</t>
    </r>
    <r>
      <rPr>
        <sz val="11"/>
        <rFont val="Arial"/>
        <family val="0"/>
        <charset val="1"/>
      </rPr>
      <t xml:space="preserve">.</t>
    </r>
  </si>
  <si>
    <t xml:space="preserve">접견실</t>
  </si>
  <si>
    <t xml:space="preserve">CT-03</t>
  </si>
  <si>
    <r>
      <rPr>
        <sz val="11"/>
        <rFont val="Arial"/>
        <family val="0"/>
        <charset val="1"/>
      </rPr>
      <t xml:space="preserve">3F_dimension_SW: 850+980+3315=5145(</t>
    </r>
    <r>
      <rPr>
        <sz val="11"/>
        <rFont val="Noto Sans CJK SC"/>
        <family val="2"/>
      </rPr>
      <t xml:space="preserve">가로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5400+520+980=6900(</t>
    </r>
    <r>
      <rPr>
        <sz val="11"/>
        <rFont val="Noto Sans CJK SC"/>
        <family val="2"/>
      </rPr>
      <t xml:space="preserve">동벽 길이</t>
    </r>
    <r>
      <rPr>
        <sz val="11"/>
        <rFont val="Arial"/>
        <family val="0"/>
        <charset val="1"/>
      </rPr>
      <t xml:space="preserve">). 5.145x6.9=35.50 + </t>
    </r>
    <r>
      <rPr>
        <sz val="11"/>
        <rFont val="Noto Sans CJK SC"/>
        <family val="2"/>
      </rPr>
      <t xml:space="preserve">서측 곡면 베이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현창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면적 약</t>
    </r>
    <r>
      <rPr>
        <sz val="11"/>
        <rFont val="Arial"/>
        <family val="0"/>
        <charset val="1"/>
      </rPr>
      <t xml:space="preserve">3.5(chord 5.5m x </t>
    </r>
    <r>
      <rPr>
        <sz val="11"/>
        <rFont val="Noto Sans CJK SC"/>
        <family val="2"/>
      </rPr>
      <t xml:space="preserve">높이 </t>
    </r>
    <r>
      <rPr>
        <sz val="11"/>
        <rFont val="Arial"/>
        <family val="0"/>
        <charset val="1"/>
      </rPr>
      <t xml:space="preserve">1.05m x 2/3, </t>
    </r>
    <r>
      <rPr>
        <sz val="11"/>
        <rFont val="Noto Sans CJK SC"/>
        <family val="2"/>
      </rPr>
      <t xml:space="preserve">도면비례 추정</t>
    </r>
    <r>
      <rPr>
        <sz val="11"/>
        <rFont val="Arial"/>
        <family val="0"/>
        <charset val="1"/>
      </rPr>
      <t xml:space="preserve">) - </t>
    </r>
    <r>
      <rPr>
        <sz val="11"/>
        <rFont val="Noto Sans CJK SC"/>
        <family val="2"/>
      </rPr>
      <t xml:space="preserve">기둥 </t>
    </r>
    <r>
      <rPr>
        <sz val="11"/>
        <rFont val="Arial"/>
        <family val="0"/>
        <charset val="1"/>
      </rPr>
      <t xml:space="preserve">0.39 = 38.61.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동벽 </t>
    </r>
    <r>
      <rPr>
        <sz val="11"/>
        <rFont val="Arial"/>
        <family val="0"/>
        <charset val="1"/>
      </rPr>
      <t xml:space="preserve">6.9-</t>
    </r>
    <r>
      <rPr>
        <sz val="11"/>
        <rFont val="Noto Sans CJK SC"/>
        <family val="2"/>
      </rPr>
      <t xml:space="preserve">문</t>
    </r>
    <r>
      <rPr>
        <sz val="11"/>
        <rFont val="Arial"/>
        <family val="0"/>
        <charset val="1"/>
      </rPr>
      <t xml:space="preserve">0.98+</t>
    </r>
    <r>
      <rPr>
        <sz val="11"/>
        <rFont val="Noto Sans CJK SC"/>
        <family val="2"/>
      </rPr>
      <t xml:space="preserve">북</t>
    </r>
    <r>
      <rPr>
        <sz val="11"/>
        <rFont val="Arial"/>
        <family val="0"/>
        <charset val="1"/>
      </rPr>
      <t xml:space="preserve">5.145+</t>
    </r>
    <r>
      <rPr>
        <sz val="11"/>
        <rFont val="Noto Sans CJK SC"/>
        <family val="2"/>
      </rPr>
      <t xml:space="preserve">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슬라이딩 도어 </t>
    </r>
    <r>
      <rPr>
        <sz val="11"/>
        <rFont val="Arial"/>
        <family val="0"/>
        <charset val="1"/>
      </rPr>
      <t xml:space="preserve">0.98 </t>
    </r>
    <r>
      <rPr>
        <sz val="11"/>
        <rFont val="Noto Sans CJK SC"/>
        <family val="2"/>
      </rPr>
      <t xml:space="preserve">제외</t>
    </r>
    <r>
      <rPr>
        <sz val="11"/>
        <rFont val="Arial"/>
        <family val="0"/>
        <charset val="1"/>
      </rPr>
      <t xml:space="preserve">)4.17, </t>
    </r>
    <r>
      <rPr>
        <sz val="11"/>
        <rFont val="Noto Sans CJK SC"/>
        <family val="2"/>
      </rPr>
      <t xml:space="preserve">곡면 창 제외 </t>
    </r>
    <r>
      <rPr>
        <sz val="11"/>
        <rFont val="Arial"/>
        <family val="0"/>
        <charset val="1"/>
      </rPr>
      <t xml:space="preserve">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3F_dimension_NW/SW </t>
    </r>
    <r>
      <rPr>
        <sz val="11"/>
        <rFont val="Noto Sans CJK SC"/>
        <family val="2"/>
      </rPr>
      <t xml:space="preserve">서측 창 </t>
    </r>
    <r>
      <rPr>
        <sz val="11"/>
        <rFont val="Arial"/>
        <family val="0"/>
        <charset val="1"/>
      </rPr>
      <t xml:space="preserve">450(</t>
    </r>
    <r>
      <rPr>
        <sz val="11"/>
        <rFont val="Noto Sans CJK SC"/>
        <family val="2"/>
      </rPr>
      <t xml:space="preserve">준용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직선 </t>
    </r>
    <r>
      <rPr>
        <sz val="11"/>
        <rFont val="Arial"/>
        <family val="0"/>
        <charset val="1"/>
      </rPr>
      <t xml:space="preserve">1.64m + </t>
    </r>
    <r>
      <rPr>
        <sz val="11"/>
        <rFont val="Noto Sans CJK SC"/>
        <family val="2"/>
      </rPr>
      <t xml:space="preserve">곡면 현창 마감호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창호 사이 띠 </t>
    </r>
    <r>
      <rPr>
        <sz val="11"/>
        <rFont val="Arial"/>
        <family val="0"/>
        <charset val="1"/>
      </rPr>
      <t xml:space="preserve">450 x </t>
    </r>
    <r>
      <rPr>
        <sz val="11"/>
        <rFont val="Noto Sans CJK SC"/>
        <family val="2"/>
      </rPr>
      <t xml:space="preserve">호길이 약</t>
    </r>
    <r>
      <rPr>
        <sz val="11"/>
        <rFont val="Arial"/>
        <family val="0"/>
        <charset val="1"/>
      </rPr>
      <t xml:space="preserve">6.0m (v5 </t>
    </r>
    <r>
      <rPr>
        <sz val="11"/>
        <rFont val="Noto Sans CJK SC"/>
        <family val="2"/>
      </rPr>
      <t xml:space="preserve">베이 가산은 마감호 안쪽까지만 포함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서측 직선 </t>
    </r>
    <r>
      <rPr>
        <sz val="11"/>
        <rFont val="Arial"/>
        <family val="0"/>
        <charset val="1"/>
      </rPr>
      <t xml:space="preserve">450x1.64=+0.74 + </t>
    </r>
    <r>
      <rPr>
        <sz val="11"/>
        <rFont val="Noto Sans CJK SC"/>
        <family val="2"/>
      </rPr>
      <t xml:space="preserve">곡면 베이 띠 </t>
    </r>
    <r>
      <rPr>
        <sz val="11"/>
        <rFont val="Arial"/>
        <family val="0"/>
        <charset val="1"/>
      </rPr>
      <t xml:space="preserve">450x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6.0=+2.70 = +3.44.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</si>
  <si>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+3.44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(3F_dimension_NW/SW </t>
    </r>
    <r>
      <rPr>
        <sz val="11"/>
        <rFont val="Noto Sans CJK SC"/>
        <family val="2"/>
      </rPr>
      <t xml:space="preserve">서측 창 </t>
    </r>
    <r>
      <rPr>
        <sz val="11"/>
        <rFont val="Arial"/>
        <family val="0"/>
        <charset val="1"/>
      </rPr>
      <t xml:space="preserve">450(</t>
    </r>
    <r>
      <rPr>
        <sz val="11"/>
        <rFont val="Noto Sans CJK SC"/>
        <family val="2"/>
      </rPr>
      <t xml:space="preserve">준용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직선 </t>
    </r>
    <r>
      <rPr>
        <sz val="11"/>
        <rFont val="Arial"/>
        <family val="0"/>
        <charset val="1"/>
      </rPr>
      <t xml:space="preserve">1.64m + </t>
    </r>
    <r>
      <rPr>
        <sz val="11"/>
        <rFont val="Noto Sans CJK SC"/>
        <family val="2"/>
      </rPr>
      <t xml:space="preserve">곡면 현창 마감호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창호 사이 띠 </t>
    </r>
    <r>
      <rPr>
        <sz val="11"/>
        <rFont val="Arial"/>
        <family val="0"/>
        <charset val="1"/>
      </rPr>
      <t xml:space="preserve">450 x </t>
    </r>
    <r>
      <rPr>
        <sz val="11"/>
        <rFont val="Noto Sans CJK SC"/>
        <family val="2"/>
      </rPr>
      <t xml:space="preserve">호길이 약</t>
    </r>
    <r>
      <rPr>
        <sz val="11"/>
        <rFont val="Arial"/>
        <family val="0"/>
        <charset val="1"/>
      </rPr>
      <t xml:space="preserve">6.0m (v5 </t>
    </r>
    <r>
      <rPr>
        <sz val="11"/>
        <rFont val="Noto Sans CJK SC"/>
        <family val="2"/>
      </rPr>
      <t xml:space="preserve">베이 가산은 마감호 안쪽까지만 포함</t>
    </r>
    <r>
      <rPr>
        <sz val="11"/>
        <rFont val="Arial"/>
        <family val="0"/>
        <charset val="1"/>
      </rPr>
      <t xml:space="preserve">)).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38.61-&gt;42.05.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ok</t>
    </r>
  </si>
  <si>
    <t xml:space="preserve">협회장실</t>
  </si>
  <si>
    <r>
      <rPr>
        <sz val="11"/>
        <rFont val="Arial"/>
        <family val="0"/>
        <charset val="1"/>
      </rPr>
      <t xml:space="preserve">3F_dimension_SW: </t>
    </r>
    <r>
      <rPr>
        <sz val="11"/>
        <rFont val="Noto Sans CJK SC"/>
        <family val="2"/>
      </rPr>
      <t xml:space="preserve">상부 </t>
    </r>
    <r>
      <rPr>
        <sz val="11"/>
        <rFont val="Arial"/>
        <family val="0"/>
        <charset val="1"/>
      </rPr>
      <t xml:space="preserve">5145 x (940+300+1170+105+2295 </t>
    </r>
    <r>
      <rPr>
        <sz val="11"/>
        <rFont val="Noto Sans CJK SC"/>
        <family val="2"/>
      </rPr>
      <t xml:space="preserve">중 슬라이딩벽 아래 약</t>
    </r>
    <r>
      <rPr>
        <sz val="11"/>
        <rFont val="Arial"/>
        <family val="0"/>
        <charset val="1"/>
      </rPr>
      <t xml:space="preserve">4700) = 24.18; </t>
    </r>
    <r>
      <rPr>
        <sz val="11"/>
        <rFont val="Noto Sans CJK SC"/>
        <family val="2"/>
      </rPr>
      <t xml:space="preserve">하부 </t>
    </r>
    <r>
      <rPr>
        <sz val="11"/>
        <rFont val="Arial"/>
        <family val="0"/>
        <charset val="1"/>
      </rPr>
      <t xml:space="preserve">4645('4645'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) x 1500(105+410+980+105 </t>
    </r>
    <r>
      <rPr>
        <sz val="11"/>
        <rFont val="Noto Sans CJK SC"/>
        <family val="2"/>
      </rPr>
      <t xml:space="preserve">구간</t>
    </r>
    <r>
      <rPr>
        <sz val="11"/>
        <rFont val="Arial"/>
        <family val="0"/>
        <charset val="1"/>
      </rPr>
      <t xml:space="preserve">) = 6.97; </t>
    </r>
    <r>
      <rPr>
        <sz val="11"/>
        <rFont val="Noto Sans CJK SC"/>
        <family val="2"/>
      </rPr>
      <t xml:space="preserve">기둥 </t>
    </r>
    <r>
      <rPr>
        <sz val="11"/>
        <rFont val="Arial"/>
        <family val="0"/>
        <charset val="1"/>
      </rPr>
      <t xml:space="preserve">0.13 </t>
    </r>
    <r>
      <rPr>
        <sz val="11"/>
        <rFont val="Noto Sans CJK SC"/>
        <family val="2"/>
      </rPr>
      <t xml:space="preserve">공제 </t>
    </r>
    <r>
      <rPr>
        <sz val="11"/>
        <rFont val="Arial"/>
        <family val="0"/>
        <charset val="1"/>
      </rPr>
      <t xml:space="preserve">=&gt; 31.02.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동벽 </t>
    </r>
    <r>
      <rPr>
        <sz val="11"/>
        <rFont val="Arial"/>
        <family val="0"/>
        <charset val="1"/>
      </rPr>
      <t xml:space="preserve">3.76+</t>
    </r>
    <r>
      <rPr>
        <sz val="11"/>
        <rFont val="Noto Sans CJK SC"/>
        <family val="2"/>
      </rPr>
      <t xml:space="preserve">북 </t>
    </r>
    <r>
      <rPr>
        <sz val="11"/>
        <rFont val="Arial"/>
        <family val="0"/>
        <charset val="1"/>
      </rPr>
      <t xml:space="preserve">4.17+</t>
    </r>
    <r>
      <rPr>
        <sz val="11"/>
        <rFont val="Noto Sans CJK SC"/>
        <family val="2"/>
      </rPr>
      <t xml:space="preserve">서 불투명 </t>
    </r>
    <r>
      <rPr>
        <sz val="11"/>
        <rFont val="Arial"/>
        <family val="0"/>
        <charset val="1"/>
      </rPr>
      <t xml:space="preserve">3.5+</t>
    </r>
    <r>
      <rPr>
        <sz val="11"/>
        <rFont val="Noto Sans CJK SC"/>
        <family val="2"/>
      </rPr>
      <t xml:space="preserve">남 불투명 </t>
    </r>
    <r>
      <rPr>
        <sz val="11"/>
        <rFont val="Arial"/>
        <family val="0"/>
        <charset val="1"/>
      </rPr>
      <t xml:space="preserve">2.85+</t>
    </r>
    <r>
      <rPr>
        <sz val="11"/>
        <rFont val="Noto Sans CJK SC"/>
        <family val="2"/>
      </rPr>
      <t xml:space="preserve">하부 </t>
    </r>
    <r>
      <rPr>
        <sz val="11"/>
        <rFont val="Arial"/>
        <family val="0"/>
        <charset val="1"/>
      </rPr>
      <t xml:space="preserve">1.0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3F_dimension_SW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'450'(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창 내면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서벽</t>
    </r>
    <r>
      <rPr>
        <sz val="11"/>
        <rFont val="Arial"/>
        <family val="0"/>
        <charset val="1"/>
      </rPr>
      <t xml:space="preserve">(x512) 5.12m +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450(</t>
    </r>
    <r>
      <rPr>
        <sz val="11"/>
        <rFont val="Noto Sans CJK SC"/>
        <family val="2"/>
      </rPr>
      <t xml:space="preserve">준용</t>
    </r>
    <r>
      <rPr>
        <sz val="11"/>
        <rFont val="Arial"/>
        <family val="0"/>
        <charset val="1"/>
      </rPr>
      <t xml:space="preserve">) x 6.37m - SW </t>
    </r>
    <r>
      <rPr>
        <sz val="11"/>
        <rFont val="Noto Sans CJK SC"/>
        <family val="2"/>
      </rPr>
      <t xml:space="preserve">기둥 약</t>
    </r>
    <r>
      <rPr>
        <sz val="11"/>
        <rFont val="Arial"/>
        <family val="0"/>
        <charset val="1"/>
      </rPr>
      <t xml:space="preserve">0.21.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450x6.37=+2.87 +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450x5.12=+2.30 +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=-0.21 = +4.96.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</si>
  <si>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+4.96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(3F_dimension_SW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'450'(</t>
    </r>
    <r>
      <rPr>
        <sz val="11"/>
        <rFont val="Noto Sans CJK SC"/>
        <family val="2"/>
      </rPr>
      <t xml:space="preserve">마감선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창 내면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서벽</t>
    </r>
    <r>
      <rPr>
        <sz val="11"/>
        <rFont val="Arial"/>
        <family val="0"/>
        <charset val="1"/>
      </rPr>
      <t xml:space="preserve">(x512) 5.12m +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450(</t>
    </r>
    <r>
      <rPr>
        <sz val="11"/>
        <rFont val="Noto Sans CJK SC"/>
        <family val="2"/>
      </rPr>
      <t xml:space="preserve">준용</t>
    </r>
    <r>
      <rPr>
        <sz val="11"/>
        <rFont val="Arial"/>
        <family val="0"/>
        <charset val="1"/>
      </rPr>
      <t xml:space="preserve">) x 6.37m - SW </t>
    </r>
    <r>
      <rPr>
        <sz val="11"/>
        <rFont val="Noto Sans CJK SC"/>
        <family val="2"/>
      </rPr>
      <t xml:space="preserve">기둥 약</t>
    </r>
    <r>
      <rPr>
        <sz val="11"/>
        <rFont val="Arial"/>
        <family val="0"/>
        <charset val="1"/>
      </rPr>
      <t xml:space="preserve">0.21).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31.02-&gt;35.98.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ok</t>
    </r>
  </si>
  <si>
    <r>
      <rPr>
        <sz val="11"/>
        <rFont val="Arial"/>
        <family val="0"/>
        <charset val="1"/>
      </rPr>
      <t xml:space="preserve">3F_dimension_NE: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1100+980+100=2180,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4230. </t>
    </r>
    <r>
      <rPr>
        <sz val="11"/>
        <rFont val="Noto Sans CJK SC"/>
        <family val="2"/>
      </rPr>
      <t xml:space="preserve">기둥 돌출 </t>
    </r>
    <r>
      <rPr>
        <sz val="11"/>
        <rFont val="Arial"/>
        <family val="0"/>
        <charset val="1"/>
      </rPr>
      <t xml:space="preserve">0.17 </t>
    </r>
    <r>
      <rPr>
        <sz val="11"/>
        <rFont val="Noto Sans CJK SC"/>
        <family val="2"/>
      </rPr>
      <t xml:space="preserve">공제 </t>
    </r>
    <r>
      <rPr>
        <sz val="11"/>
        <rFont val="Arial"/>
        <family val="0"/>
        <charset val="1"/>
      </rPr>
      <t xml:space="preserve">=&gt; 9.05.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둘레</t>
    </r>
    <r>
      <rPr>
        <sz val="11"/>
        <rFont val="Arial"/>
        <family val="0"/>
        <charset val="1"/>
      </rPr>
      <t xml:space="preserve">12.82-</t>
    </r>
    <r>
      <rPr>
        <sz val="11"/>
        <rFont val="Noto Sans CJK SC"/>
        <family val="2"/>
      </rPr>
      <t xml:space="preserve">문</t>
    </r>
    <r>
      <rPr>
        <sz val="11"/>
        <rFont val="Arial"/>
        <family val="0"/>
        <charset val="1"/>
      </rPr>
      <t xml:space="preserve">980=11.84</t>
    </r>
  </si>
  <si>
    <t xml:space="preserve">비서</t>
  </si>
  <si>
    <r>
      <rPr>
        <sz val="11"/>
        <rFont val="Arial"/>
        <family val="0"/>
        <charset val="1"/>
      </rPr>
      <t xml:space="preserve">3F_dimension_SW: </t>
    </r>
    <r>
      <rPr>
        <sz val="11"/>
        <rFont val="Noto Sans CJK SC"/>
        <family val="2"/>
      </rPr>
      <t xml:space="preserve">가로 </t>
    </r>
    <r>
      <rPr>
        <sz val="11"/>
        <rFont val="Arial"/>
        <family val="0"/>
        <charset val="1"/>
      </rPr>
      <t xml:space="preserve">2000+799+190+1450(+385 </t>
    </r>
    <r>
      <rPr>
        <sz val="11"/>
        <rFont val="Noto Sans CJK SC"/>
        <family val="2"/>
      </rPr>
      <t xml:space="preserve">이중벽 제외</t>
    </r>
    <r>
      <rPr>
        <sz val="11"/>
        <rFont val="Arial"/>
        <family val="0"/>
        <charset val="1"/>
      </rPr>
      <t xml:space="preserve">)=4439,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2295. 4.44x2.295.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상부 벽 </t>
    </r>
    <r>
      <rPr>
        <sz val="11"/>
        <rFont val="Arial"/>
        <family val="0"/>
        <charset val="1"/>
      </rPr>
      <t xml:space="preserve">1.745+</t>
    </r>
    <r>
      <rPr>
        <sz val="11"/>
        <rFont val="Noto Sans CJK SC"/>
        <family val="2"/>
      </rPr>
      <t xml:space="preserve">동 </t>
    </r>
    <r>
      <rPr>
        <sz val="11"/>
        <rFont val="Arial"/>
        <family val="0"/>
        <charset val="1"/>
      </rPr>
      <t xml:space="preserve">2.295+</t>
    </r>
    <r>
      <rPr>
        <sz val="11"/>
        <rFont val="Noto Sans CJK SC"/>
        <family val="2"/>
      </rPr>
      <t xml:space="preserve">서 </t>
    </r>
    <r>
      <rPr>
        <sz val="11"/>
        <rFont val="Arial"/>
        <family val="0"/>
        <charset val="1"/>
      </rPr>
      <t xml:space="preserve">2.295+</t>
    </r>
    <r>
      <rPr>
        <sz val="11"/>
        <rFont val="Noto Sans CJK SC"/>
        <family val="2"/>
      </rPr>
      <t xml:space="preserve">하부벽 </t>
    </r>
    <r>
      <rPr>
        <sz val="11"/>
        <rFont val="Arial"/>
        <family val="0"/>
        <charset val="1"/>
      </rPr>
      <t xml:space="preserve">4.44 (</t>
    </r>
    <r>
      <rPr>
        <sz val="11"/>
        <rFont val="Noto Sans CJK SC"/>
        <family val="2"/>
      </rPr>
      <t xml:space="preserve">상부 붙박이장 </t>
    </r>
    <r>
      <rPr>
        <sz val="11"/>
        <rFont val="Arial"/>
        <family val="0"/>
        <charset val="1"/>
      </rPr>
      <t xml:space="preserve">2.12·</t>
    </r>
    <r>
      <rPr>
        <sz val="11"/>
        <rFont val="Noto Sans CJK SC"/>
        <family val="2"/>
      </rPr>
      <t xml:space="preserve">개구 </t>
    </r>
    <r>
      <rPr>
        <sz val="11"/>
        <rFont val="Arial"/>
        <family val="0"/>
        <charset val="1"/>
      </rPr>
      <t xml:space="preserve">0.8 </t>
    </r>
    <r>
      <rPr>
        <sz val="11"/>
        <rFont val="Noto Sans CJK SC"/>
        <family val="2"/>
      </rPr>
      <t xml:space="preserve">제외</t>
    </r>
    <r>
      <rPr>
        <sz val="11"/>
        <rFont val="Arial"/>
        <family val="0"/>
        <charset val="1"/>
      </rPr>
      <t xml:space="preserve">)</t>
    </r>
  </si>
  <si>
    <t xml:space="preserve">LOUNGE</t>
  </si>
  <si>
    <r>
      <rPr>
        <sz val="11"/>
        <rFont val="Arial"/>
        <family val="0"/>
        <charset val="1"/>
      </rPr>
      <t xml:space="preserve">3F_dimension_NW/SW: </t>
    </r>
    <r>
      <rPr>
        <sz val="11"/>
        <rFont val="Noto Sans CJK SC"/>
        <family val="2"/>
      </rPr>
      <t xml:space="preserve">폭 접견실 동벽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코어 서벽 약</t>
    </r>
    <r>
      <rPr>
        <sz val="11"/>
        <rFont val="Arial"/>
        <family val="0"/>
        <charset val="1"/>
      </rPr>
      <t xml:space="preserve">5.74m(</t>
    </r>
    <r>
      <rPr>
        <sz val="11"/>
        <rFont val="Noto Sans CJK SC"/>
        <family val="2"/>
      </rPr>
      <t xml:space="preserve">도면비례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길이 사무총장실 하단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코어 하부 약</t>
    </r>
    <r>
      <rPr>
        <sz val="11"/>
        <rFont val="Arial"/>
        <family val="0"/>
        <charset val="1"/>
      </rPr>
      <t xml:space="preserve">9.25m(</t>
    </r>
    <r>
      <rPr>
        <sz val="11"/>
        <rFont val="Noto Sans CJK SC"/>
        <family val="2"/>
      </rPr>
      <t xml:space="preserve">도면비례</t>
    </r>
    <r>
      <rPr>
        <sz val="11"/>
        <rFont val="Arial"/>
        <family val="0"/>
        <charset val="1"/>
      </rPr>
      <t xml:space="preserve">, 1500/2400/4500 </t>
    </r>
    <r>
      <rPr>
        <sz val="11"/>
        <rFont val="Noto Sans CJK SC"/>
        <family val="2"/>
      </rPr>
      <t xml:space="preserve">숫자와 정합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숫자 직접 표기 없어 신뢰도 낮음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서측 접견실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협회장실 동벽 </t>
    </r>
    <r>
      <rPr>
        <sz val="11"/>
        <rFont val="Arial"/>
        <family val="0"/>
        <charset val="1"/>
      </rPr>
      <t xml:space="preserve">7.2+</t>
    </r>
    <r>
      <rPr>
        <sz val="11"/>
        <rFont val="Noto Sans CJK SC"/>
        <family val="2"/>
      </rPr>
      <t xml:space="preserve">북 </t>
    </r>
    <r>
      <rPr>
        <sz val="11"/>
        <rFont val="Arial"/>
        <family val="0"/>
        <charset val="1"/>
      </rPr>
      <t xml:space="preserve">1.0+</t>
    </r>
    <r>
      <rPr>
        <sz val="11"/>
        <rFont val="Noto Sans CJK SC"/>
        <family val="2"/>
      </rPr>
      <t xml:space="preserve">동 코어벽 </t>
    </r>
    <r>
      <rPr>
        <sz val="11"/>
        <rFont val="Arial"/>
        <family val="0"/>
        <charset val="1"/>
      </rPr>
      <t xml:space="preserve">7.8</t>
    </r>
  </si>
  <si>
    <r>
      <rPr>
        <sz val="11"/>
        <rFont val="Arial"/>
        <family val="0"/>
        <charset val="1"/>
      </rPr>
      <t xml:space="preserve">3F_dimension_SE: </t>
    </r>
    <r>
      <rPr>
        <sz val="11"/>
        <rFont val="Noto Sans CJK SC"/>
        <family val="2"/>
      </rPr>
      <t xml:space="preserve">세로 </t>
    </r>
    <r>
      <rPr>
        <sz val="11"/>
        <rFont val="Arial"/>
        <family val="0"/>
        <charset val="1"/>
      </rPr>
      <t xml:space="preserve">2000('2000'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) x </t>
    </r>
    <r>
      <rPr>
        <sz val="11"/>
        <rFont val="Noto Sans CJK SC"/>
        <family val="2"/>
      </rPr>
      <t xml:space="preserve">가로 협회장실 동벽</t>
    </r>
    <r>
      <rPr>
        <sz val="11"/>
        <rFont val="Arial"/>
        <family val="0"/>
        <charset val="1"/>
      </rPr>
      <t xml:space="preserve">~F-2 </t>
    </r>
    <r>
      <rPr>
        <sz val="11"/>
        <rFont val="Noto Sans CJK SC"/>
        <family val="2"/>
      </rPr>
      <t xml:space="preserve">전이선</t>
    </r>
    <r>
      <rPr>
        <sz val="11"/>
        <rFont val="Arial"/>
        <family val="0"/>
        <charset val="1"/>
      </rPr>
      <t xml:space="preserve">(SE x=606) </t>
    </r>
    <r>
      <rPr>
        <sz val="11"/>
        <rFont val="Noto Sans CJK SC"/>
        <family val="2"/>
      </rPr>
      <t xml:space="preserve">약</t>
    </r>
    <r>
      <rPr>
        <sz val="11"/>
        <rFont val="Arial"/>
        <family val="0"/>
        <charset val="1"/>
      </rPr>
      <t xml:space="preserve">17.08m(</t>
    </r>
    <r>
      <rPr>
        <sz val="11"/>
        <rFont val="Noto Sans CJK SC"/>
        <family val="2"/>
      </rPr>
      <t xml:space="preserve">도면비례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코어 하부벽 </t>
    </r>
    <r>
      <rPr>
        <sz val="11"/>
        <rFont val="Arial"/>
        <family val="0"/>
        <charset val="1"/>
      </rPr>
      <t xml:space="preserve">8.5+</t>
    </r>
    <r>
      <rPr>
        <sz val="11"/>
        <rFont val="Noto Sans CJK SC"/>
        <family val="2"/>
      </rPr>
      <t xml:space="preserve">비서 상부벽 </t>
    </r>
    <r>
      <rPr>
        <sz val="11"/>
        <rFont val="Arial"/>
        <family val="0"/>
        <charset val="1"/>
      </rPr>
      <t xml:space="preserve">1.745. </t>
    </r>
    <r>
      <rPr>
        <sz val="11"/>
        <rFont val="Noto Sans CJK SC"/>
        <family val="2"/>
      </rPr>
      <t xml:space="preserve">전면 유리 제외</t>
    </r>
  </si>
  <si>
    <r>
      <rPr>
        <sz val="11"/>
        <rFont val="Arial"/>
        <family val="0"/>
        <charset val="1"/>
      </rPr>
      <t xml:space="preserve">CORRIDOR </t>
    </r>
    <r>
      <rPr>
        <sz val="11"/>
        <rFont val="Noto Sans CJK SC"/>
        <family val="2"/>
      </rPr>
      <t xml:space="preserve">동측</t>
    </r>
  </si>
  <si>
    <r>
      <rPr>
        <sz val="11"/>
        <rFont val="Arial"/>
        <family val="0"/>
        <charset val="1"/>
      </rPr>
      <t xml:space="preserve">3F_dimension_NE/SE: </t>
    </r>
    <r>
      <rPr>
        <sz val="11"/>
        <rFont val="Noto Sans CJK SC"/>
        <family val="2"/>
      </rPr>
      <t xml:space="preserve">폭 </t>
    </r>
    <r>
      <rPr>
        <sz val="11"/>
        <rFont val="Arial"/>
        <family val="0"/>
        <charset val="1"/>
      </rPr>
      <t xml:space="preserve">2000(</t>
    </r>
    <r>
      <rPr>
        <sz val="11"/>
        <rFont val="Noto Sans CJK SC"/>
        <family val="2"/>
      </rPr>
      <t xml:space="preserve">코어 동측</t>
    </r>
    <r>
      <rPr>
        <sz val="11"/>
        <rFont val="Arial"/>
        <family val="0"/>
        <charset val="1"/>
      </rPr>
      <t xml:space="preserve">~J</t>
    </r>
    <r>
      <rPr>
        <sz val="11"/>
        <rFont val="Noto Sans CJK SC"/>
        <family val="2"/>
      </rPr>
      <t xml:space="preserve">구역 서벽 </t>
    </r>
    <r>
      <rPr>
        <sz val="11"/>
        <rFont val="Arial"/>
        <family val="0"/>
        <charset val="1"/>
      </rPr>
      <t xml:space="preserve">'2000') x </t>
    </r>
    <r>
      <rPr>
        <sz val="11"/>
        <rFont val="Noto Sans CJK SC"/>
        <family val="2"/>
      </rPr>
      <t xml:space="preserve">길이 약</t>
    </r>
    <r>
      <rPr>
        <sz val="11"/>
        <rFont val="Arial"/>
        <family val="0"/>
        <charset val="1"/>
      </rPr>
      <t xml:space="preserve">7.23m(</t>
    </r>
    <r>
      <rPr>
        <sz val="11"/>
        <rFont val="Noto Sans CJK SC"/>
        <family val="2"/>
      </rPr>
      <t xml:space="preserve">코어 상단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코어 하단</t>
    </r>
    <r>
      <rPr>
        <sz val="11"/>
        <rFont val="Arial"/>
        <family val="0"/>
        <charset val="1"/>
      </rPr>
      <t xml:space="preserve">, '4000|1500|1500' </t>
    </r>
    <r>
      <rPr>
        <sz val="11"/>
        <rFont val="Noto Sans CJK SC"/>
        <family val="2"/>
      </rPr>
      <t xml:space="preserve">정합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코어 동벽 </t>
    </r>
    <r>
      <rPr>
        <sz val="11"/>
        <rFont val="Arial"/>
        <family val="0"/>
        <charset val="1"/>
      </rPr>
      <t xml:space="preserve">5.7+J</t>
    </r>
    <r>
      <rPr>
        <sz val="11"/>
        <rFont val="Noto Sans CJK SC"/>
        <family val="2"/>
      </rPr>
      <t xml:space="preserve">구역 서벽 </t>
    </r>
    <r>
      <rPr>
        <sz val="11"/>
        <rFont val="Arial"/>
        <family val="0"/>
        <charset val="1"/>
      </rPr>
      <t xml:space="preserve">3.2</t>
    </r>
  </si>
  <si>
    <r>
      <rPr>
        <sz val="11"/>
        <rFont val="Arial"/>
        <family val="0"/>
        <charset val="1"/>
      </rPr>
      <t xml:space="preserve">CORRIDOR </t>
    </r>
    <r>
      <rPr>
        <sz val="11"/>
        <rFont val="Noto Sans CJK SC"/>
        <family val="2"/>
      </rPr>
      <t xml:space="preserve">북측</t>
    </r>
  </si>
  <si>
    <r>
      <rPr>
        <sz val="11"/>
        <rFont val="Arial"/>
        <family val="0"/>
        <charset val="1"/>
      </rPr>
      <t xml:space="preserve">3F_dimension_NE: 1680+2000=3680 x 1815('1815' </t>
    </r>
    <r>
      <rPr>
        <sz val="11"/>
        <rFont val="Noto Sans CJK SC"/>
        <family val="2"/>
      </rPr>
      <t xml:space="preserve">숫자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창고 전면벽 </t>
    </r>
    <r>
      <rPr>
        <sz val="11"/>
        <rFont val="Arial"/>
        <family val="0"/>
        <charset val="1"/>
      </rPr>
      <t xml:space="preserve">1.3+</t>
    </r>
    <r>
      <rPr>
        <sz val="11"/>
        <rFont val="Noto Sans CJK SC"/>
        <family val="2"/>
      </rPr>
      <t xml:space="preserve">코어 상단벽 </t>
    </r>
    <r>
      <rPr>
        <sz val="11"/>
        <rFont val="Arial"/>
        <family val="0"/>
        <charset val="1"/>
      </rPr>
      <t xml:space="preserve">1.65</t>
    </r>
  </si>
  <si>
    <t xml:space="preserve">ELE'V HALL</t>
  </si>
  <si>
    <r>
      <rPr>
        <sz val="11"/>
        <rFont val="Arial"/>
        <family val="0"/>
        <charset val="1"/>
      </rPr>
      <t xml:space="preserve">3F_dimension_NW: </t>
    </r>
    <r>
      <rPr>
        <sz val="11"/>
        <rFont val="Noto Sans CJK SC"/>
        <family val="2"/>
      </rPr>
      <t xml:space="preserve">화장실 하부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코어 상단 띠 </t>
    </r>
    <r>
      <rPr>
        <sz val="11"/>
        <rFont val="Arial"/>
        <family val="0"/>
        <charset val="1"/>
      </rPr>
      <t xml:space="preserve">6.43x1.5('1500' </t>
    </r>
    <r>
      <rPr>
        <sz val="11"/>
        <rFont val="Noto Sans CJK SC"/>
        <family val="2"/>
      </rPr>
      <t xml:space="preserve">자동문 구간 높이</t>
    </r>
    <r>
      <rPr>
        <sz val="11"/>
        <rFont val="Arial"/>
        <family val="0"/>
        <charset val="1"/>
      </rPr>
      <t xml:space="preserve">) = 9.64 + ELE'V </t>
    </r>
    <r>
      <rPr>
        <sz val="11"/>
        <rFont val="Noto Sans CJK SC"/>
        <family val="2"/>
      </rPr>
      <t xml:space="preserve">서측 </t>
    </r>
    <r>
      <rPr>
        <sz val="11"/>
        <rFont val="Arial"/>
        <family val="0"/>
        <charset val="1"/>
      </rPr>
      <t xml:space="preserve">2.8x2.4('2400') = 6.72 =&gt; 16.36.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화장실 하벽 </t>
    </r>
    <r>
      <rPr>
        <sz val="11"/>
        <rFont val="Arial"/>
        <family val="0"/>
        <charset val="1"/>
      </rPr>
      <t xml:space="preserve">4.7+</t>
    </r>
    <r>
      <rPr>
        <sz val="11"/>
        <rFont val="Noto Sans CJK SC"/>
        <family val="2"/>
      </rPr>
      <t xml:space="preserve">코어 상단 </t>
    </r>
    <r>
      <rPr>
        <sz val="11"/>
        <rFont val="Arial"/>
        <family val="0"/>
        <charset val="1"/>
      </rPr>
      <t xml:space="preserve">5.3+</t>
    </r>
    <r>
      <rPr>
        <sz val="11"/>
        <rFont val="Noto Sans CJK SC"/>
        <family val="2"/>
      </rPr>
      <t xml:space="preserve">서벽 </t>
    </r>
    <r>
      <rPr>
        <sz val="11"/>
        <rFont val="Arial"/>
        <family val="0"/>
        <charset val="1"/>
      </rPr>
      <t xml:space="preserve">2.4+</t>
    </r>
    <r>
      <rPr>
        <sz val="11"/>
        <rFont val="Noto Sans CJK SC"/>
        <family val="2"/>
      </rPr>
      <t xml:space="preserve">기타</t>
    </r>
  </si>
  <si>
    <r>
      <rPr>
        <sz val="11"/>
        <rFont val="Arial"/>
        <family val="0"/>
        <charset val="1"/>
      </rPr>
      <t xml:space="preserve">OFFICE (</t>
    </r>
    <r>
      <rPr>
        <sz val="11"/>
        <rFont val="Noto Sans CJK SC"/>
        <family val="2"/>
      </rPr>
      <t xml:space="preserve">동측 공보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총무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입법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법제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</si>
  <si>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3F_dimension_NE/SE: </t>
    </r>
    <r>
      <rPr>
        <sz val="11"/>
        <rFont val="Noto Sans CJK SC"/>
        <family val="2"/>
      </rPr>
      <t xml:space="preserve">북측 </t>
    </r>
    <r>
      <rPr>
        <sz val="11"/>
        <rFont val="Arial"/>
        <family val="0"/>
        <charset val="1"/>
      </rPr>
      <t xml:space="preserve">4.562x6.15(</t>
    </r>
    <r>
      <rPr>
        <sz val="11"/>
        <rFont val="Noto Sans CJK SC"/>
        <family val="2"/>
      </rPr>
      <t xml:space="preserve">대회협력실 동벽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동안목 </t>
    </r>
    <r>
      <rPr>
        <sz val="11"/>
        <rFont val="Arial"/>
        <family val="0"/>
        <charset val="1"/>
      </rPr>
      <t xml:space="preserve">x </t>
    </r>
    <r>
      <rPr>
        <sz val="11"/>
        <rFont val="Noto Sans CJK SC"/>
        <family val="2"/>
      </rPr>
      <t xml:space="preserve">안목</t>
    </r>
    <r>
      <rPr>
        <sz val="11"/>
        <rFont val="Arial"/>
        <family val="0"/>
        <charset val="1"/>
      </rPr>
      <t xml:space="preserve">~'1815' </t>
    </r>
    <r>
      <rPr>
        <sz val="11"/>
        <rFont val="Noto Sans CJK SC"/>
        <family val="2"/>
      </rPr>
      <t xml:space="preserve">하단</t>
    </r>
    <r>
      <rPr>
        <sz val="11"/>
        <rFont val="Arial"/>
        <family val="0"/>
        <charset val="1"/>
      </rPr>
      <t xml:space="preserve">) 28.06; </t>
    </r>
    <r>
      <rPr>
        <sz val="11"/>
        <rFont val="Noto Sans CJK SC"/>
        <family val="2"/>
      </rPr>
      <t xml:space="preserve">대회협력실 하부 </t>
    </r>
    <r>
      <rPr>
        <sz val="11"/>
        <rFont val="Arial"/>
        <family val="0"/>
        <charset val="1"/>
      </rPr>
      <t xml:space="preserve">4.275x1.815+</t>
    </r>
    <r>
      <rPr>
        <sz val="11"/>
        <rFont val="Noto Sans CJK SC"/>
        <family val="2"/>
      </rPr>
      <t xml:space="preserve">모따기 삼각 </t>
    </r>
    <r>
      <rPr>
        <sz val="11"/>
        <rFont val="Arial"/>
        <family val="0"/>
        <charset val="1"/>
      </rPr>
      <t xml:space="preserve">0.78=8.54; 5682+700=6382 x 6.93(J</t>
    </r>
    <r>
      <rPr>
        <sz val="11"/>
        <rFont val="Noto Sans CJK SC"/>
        <family val="2"/>
      </rPr>
      <t xml:space="preserve">구역 하단까지</t>
    </r>
    <r>
      <rPr>
        <sz val="11"/>
        <rFont val="Arial"/>
        <family val="0"/>
        <charset val="1"/>
      </rPr>
      <t xml:space="preserve">) 44.23; </t>
    </r>
    <r>
      <rPr>
        <sz val="11"/>
        <rFont val="Noto Sans CJK SC"/>
        <family val="2"/>
      </rPr>
      <t xml:space="preserve">동측 곡면 베이 약</t>
    </r>
    <r>
      <rPr>
        <sz val="11"/>
        <rFont val="Arial"/>
        <family val="0"/>
        <charset val="1"/>
      </rPr>
      <t xml:space="preserve">3.8(</t>
    </r>
    <r>
      <rPr>
        <sz val="11"/>
        <rFont val="Noto Sans CJK SC"/>
        <family val="2"/>
      </rPr>
      <t xml:space="preserve">도면비례</t>
    </r>
    <r>
      <rPr>
        <sz val="11"/>
        <rFont val="Arial"/>
        <family val="0"/>
        <charset val="1"/>
      </rPr>
      <t xml:space="preserve">); F-2 </t>
    </r>
    <r>
      <rPr>
        <sz val="11"/>
        <rFont val="Noto Sans CJK SC"/>
        <family val="2"/>
      </rPr>
      <t xml:space="preserve">전이선 동측 </t>
    </r>
    <r>
      <rPr>
        <sz val="11"/>
        <rFont val="Arial"/>
        <family val="0"/>
        <charset val="1"/>
      </rPr>
      <t xml:space="preserve">7.864x2000 15.73; </t>
    </r>
    <r>
      <rPr>
        <sz val="11"/>
        <rFont val="Noto Sans CJK SC"/>
        <family val="2"/>
      </rPr>
      <t xml:space="preserve">대회의실 동측 </t>
    </r>
    <r>
      <rPr>
        <sz val="11"/>
        <rFont val="Arial"/>
        <family val="0"/>
        <charset val="1"/>
      </rPr>
      <t xml:space="preserve">4.59x3895 17.88;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2 -0.52 =&gt; 117.7. </t>
    </r>
    <r>
      <rPr>
        <sz val="11"/>
        <rFont val="Noto Sans CJK SC"/>
        <family val="2"/>
      </rPr>
      <t xml:space="preserve">걸레받이</t>
    </r>
    <r>
      <rPr>
        <sz val="11"/>
        <rFont val="Arial"/>
        <family val="0"/>
        <charset val="1"/>
      </rPr>
      <t xml:space="preserve">=</t>
    </r>
    <r>
      <rPr>
        <sz val="11"/>
        <rFont val="Noto Sans CJK SC"/>
        <family val="2"/>
      </rPr>
      <t xml:space="preserve">북 </t>
    </r>
    <r>
      <rPr>
        <sz val="11"/>
        <rFont val="Arial"/>
        <family val="0"/>
        <charset val="1"/>
      </rPr>
      <t xml:space="preserve">4.56+</t>
    </r>
    <r>
      <rPr>
        <sz val="11"/>
        <rFont val="Noto Sans CJK SC"/>
        <family val="2"/>
      </rPr>
      <t xml:space="preserve">동 불투명 </t>
    </r>
    <r>
      <rPr>
        <sz val="11"/>
        <rFont val="Arial"/>
        <family val="0"/>
        <charset val="1"/>
      </rPr>
      <t xml:space="preserve">7.1+</t>
    </r>
    <r>
      <rPr>
        <sz val="11"/>
        <rFont val="Noto Sans CJK SC"/>
        <family val="2"/>
      </rPr>
      <t xml:space="preserve">대회의실 동벽 </t>
    </r>
    <r>
      <rPr>
        <sz val="11"/>
        <rFont val="Arial"/>
        <family val="0"/>
        <charset val="1"/>
      </rPr>
      <t xml:space="preserve">3.9+</t>
    </r>
    <r>
      <rPr>
        <sz val="11"/>
        <rFont val="Noto Sans CJK SC"/>
        <family val="2"/>
      </rPr>
      <t xml:space="preserve">남 불투명 </t>
    </r>
    <r>
      <rPr>
        <sz val="11"/>
        <rFont val="Arial"/>
        <family val="0"/>
        <charset val="1"/>
      </rPr>
      <t xml:space="preserve">2.7 || [v6 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] 3F_dimension_NE '5682|700|700'(</t>
    </r>
    <r>
      <rPr>
        <sz val="11"/>
        <rFont val="Noto Sans CJK SC"/>
        <family val="2"/>
      </rPr>
      <t xml:space="preserve">기둥박스 외면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700, v5 </t>
    </r>
    <r>
      <rPr>
        <sz val="11"/>
        <rFont val="Noto Sans CJK SC"/>
        <family val="2"/>
      </rPr>
      <t xml:space="preserve">경계가 </t>
    </r>
    <r>
      <rPr>
        <sz val="11"/>
        <rFont val="Arial"/>
        <family val="0"/>
        <charset val="1"/>
      </rPr>
      <t xml:space="preserve">5682+700</t>
    </r>
    <r>
      <rPr>
        <sz val="11"/>
        <rFont val="Noto Sans CJK SC"/>
        <family val="2"/>
      </rPr>
      <t xml:space="preserve">에서 끝난 구간은 </t>
    </r>
    <r>
      <rPr>
        <sz val="11"/>
        <rFont val="Arial"/>
        <family val="0"/>
        <charset val="1"/>
      </rPr>
      <t xml:space="preserve">700) + </t>
    </r>
    <r>
      <rPr>
        <sz val="11"/>
        <rFont val="Noto Sans CJK SC"/>
        <family val="2"/>
      </rPr>
      <t xml:space="preserve">마감선이 경계인 구간은 </t>
    </r>
    <r>
      <rPr>
        <sz val="11"/>
        <rFont val="Arial"/>
        <family val="0"/>
        <charset val="1"/>
      </rPr>
      <t xml:space="preserve">2F '439' </t>
    </r>
    <r>
      <rPr>
        <sz val="11"/>
        <rFont val="Noto Sans CJK SC"/>
        <family val="2"/>
      </rPr>
      <t xml:space="preserve">준용 </t>
    </r>
    <r>
      <rPr>
        <sz val="11"/>
        <rFont val="Arial"/>
        <family val="0"/>
        <charset val="1"/>
      </rPr>
      <t xml:space="preserve">440 + </t>
    </r>
    <r>
      <rPr>
        <sz val="11"/>
        <rFont val="Noto Sans CJK SC"/>
        <family val="2"/>
      </rPr>
      <t xml:space="preserve">곡면 현창 띠 </t>
    </r>
    <r>
      <rPr>
        <sz val="11"/>
        <rFont val="Arial"/>
        <family val="0"/>
        <charset val="1"/>
      </rPr>
      <t xml:space="preserve">440 x </t>
    </r>
    <r>
      <rPr>
        <sz val="11"/>
        <rFont val="Noto Sans CJK SC"/>
        <family val="2"/>
      </rPr>
      <t xml:space="preserve">호길이 </t>
    </r>
    <r>
      <rPr>
        <sz val="11"/>
        <rFont val="Arial"/>
        <family val="0"/>
        <charset val="1"/>
      </rPr>
      <t xml:space="preserve">6.0 +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대회의실 동벽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동측 창 </t>
    </r>
    <r>
      <rPr>
        <sz val="11"/>
        <rFont val="Arial"/>
        <family val="0"/>
        <charset val="1"/>
      </rPr>
      <t xml:space="preserve">5.44 - </t>
    </r>
    <r>
      <rPr>
        <sz val="11"/>
        <rFont val="Noto Sans CJK SC"/>
        <family val="2"/>
      </rPr>
      <t xml:space="preserve">기둥 </t>
    </r>
    <r>
      <rPr>
        <sz val="11"/>
        <rFont val="Arial"/>
        <family val="0"/>
        <charset val="1"/>
      </rPr>
      <t xml:space="preserve">0.21. </t>
    </r>
    <r>
      <rPr>
        <sz val="11"/>
        <rFont val="Noto Sans CJK SC"/>
        <family val="2"/>
      </rPr>
      <t xml:space="preserve">계산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동측 북블록 </t>
    </r>
    <r>
      <rPr>
        <sz val="11"/>
        <rFont val="Arial"/>
        <family val="0"/>
        <charset val="1"/>
      </rPr>
      <t xml:space="preserve">440x5.71=+2.51 + </t>
    </r>
    <r>
      <rPr>
        <sz val="11"/>
        <rFont val="Noto Sans CJK SC"/>
        <family val="2"/>
      </rPr>
      <t xml:space="preserve">동측 직선 </t>
    </r>
    <r>
      <rPr>
        <sz val="11"/>
        <rFont val="Arial"/>
        <family val="0"/>
        <charset val="1"/>
      </rPr>
      <t xml:space="preserve">700x0.93=+0.65 + </t>
    </r>
    <r>
      <rPr>
        <sz val="11"/>
        <rFont val="Noto Sans CJK SC"/>
        <family val="2"/>
      </rPr>
      <t xml:space="preserve">동측 곡면 베이 띠 </t>
    </r>
    <r>
      <rPr>
        <sz val="11"/>
        <rFont val="Arial"/>
        <family val="0"/>
        <charset val="1"/>
      </rPr>
      <t xml:space="preserve">440x6.0=+2.64 + </t>
    </r>
    <r>
      <rPr>
        <sz val="11"/>
        <rFont val="Noto Sans CJK SC"/>
        <family val="2"/>
      </rPr>
      <t xml:space="preserve">동측 남블록 </t>
    </r>
    <r>
      <rPr>
        <sz val="11"/>
        <rFont val="Arial"/>
        <family val="0"/>
        <charset val="1"/>
      </rPr>
      <t xml:space="preserve">440x6.26=+2.75 +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550x5.44=+2.99 + </t>
    </r>
    <r>
      <rPr>
        <sz val="11"/>
        <rFont val="Noto Sans CJK SC"/>
        <family val="2"/>
      </rPr>
      <t xml:space="preserve">기둥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공제</t>
    </r>
    <r>
      <rPr>
        <sz val="11"/>
        <rFont val="Arial"/>
        <family val="0"/>
        <charset val="1"/>
      </rPr>
      <t xml:space="preserve">=-0.21 = +11.34. </t>
    </r>
    <r>
      <rPr>
        <sz val="11"/>
        <rFont val="Noto Sans CJK SC"/>
        <family val="2"/>
      </rPr>
      <t xml:space="preserve">걸레받이는 창 하부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라 변경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</si>
  <si>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창측 띠 </t>
    </r>
    <r>
      <rPr>
        <sz val="11"/>
        <rFont val="Arial"/>
        <family val="0"/>
        <charset val="1"/>
      </rPr>
      <t xml:space="preserve">+11.34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(3F_dimension_NE '5682|700|700'(</t>
    </r>
    <r>
      <rPr>
        <sz val="11"/>
        <rFont val="Noto Sans CJK SC"/>
        <family val="2"/>
      </rPr>
      <t xml:space="preserve">기둥박스 외면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창 </t>
    </r>
    <r>
      <rPr>
        <sz val="11"/>
        <rFont val="Arial"/>
        <family val="0"/>
        <charset val="1"/>
      </rPr>
      <t xml:space="preserve">700, v5 </t>
    </r>
    <r>
      <rPr>
        <sz val="11"/>
        <rFont val="Noto Sans CJK SC"/>
        <family val="2"/>
      </rPr>
      <t xml:space="preserve">경계가 </t>
    </r>
    <r>
      <rPr>
        <sz val="11"/>
        <rFont val="Arial"/>
        <family val="0"/>
        <charset val="1"/>
      </rPr>
      <t xml:space="preserve">5682+700</t>
    </r>
    <r>
      <rPr>
        <sz val="11"/>
        <rFont val="Noto Sans CJK SC"/>
        <family val="2"/>
      </rPr>
      <t xml:space="preserve">에서 끝난 구간은 </t>
    </r>
    <r>
      <rPr>
        <sz val="11"/>
        <rFont val="Arial"/>
        <family val="0"/>
        <charset val="1"/>
      </rPr>
      <t xml:space="preserve">700) + </t>
    </r>
    <r>
      <rPr>
        <sz val="11"/>
        <rFont val="Noto Sans CJK SC"/>
        <family val="2"/>
      </rPr>
      <t xml:space="preserve">마감선이 경계인 구간은 </t>
    </r>
    <r>
      <rPr>
        <sz val="11"/>
        <rFont val="Arial"/>
        <family val="0"/>
        <charset val="1"/>
      </rPr>
      <t xml:space="preserve">2F '439' </t>
    </r>
    <r>
      <rPr>
        <sz val="11"/>
        <rFont val="Noto Sans CJK SC"/>
        <family val="2"/>
      </rPr>
      <t xml:space="preserve">준용 </t>
    </r>
    <r>
      <rPr>
        <sz val="11"/>
        <rFont val="Arial"/>
        <family val="0"/>
        <charset val="1"/>
      </rPr>
      <t xml:space="preserve">440 + </t>
    </r>
    <r>
      <rPr>
        <sz val="11"/>
        <rFont val="Noto Sans CJK SC"/>
        <family val="2"/>
      </rPr>
      <t xml:space="preserve">곡면 현창 띠 </t>
    </r>
    <r>
      <rPr>
        <sz val="11"/>
        <rFont val="Arial"/>
        <family val="0"/>
        <charset val="1"/>
      </rPr>
      <t xml:space="preserve">440 x </t>
    </r>
    <r>
      <rPr>
        <sz val="11"/>
        <rFont val="Noto Sans CJK SC"/>
        <family val="2"/>
      </rPr>
      <t xml:space="preserve">호길이 </t>
    </r>
    <r>
      <rPr>
        <sz val="11"/>
        <rFont val="Arial"/>
        <family val="0"/>
        <charset val="1"/>
      </rPr>
      <t xml:space="preserve">6.0 + </t>
    </r>
    <r>
      <rPr>
        <sz val="11"/>
        <rFont val="Noto Sans CJK SC"/>
        <family val="2"/>
      </rPr>
      <t xml:space="preserve">남측 </t>
    </r>
    <r>
      <rPr>
        <sz val="11"/>
        <rFont val="Arial"/>
        <family val="0"/>
        <charset val="1"/>
      </rPr>
      <t xml:space="preserve">'550' x </t>
    </r>
    <r>
      <rPr>
        <sz val="11"/>
        <rFont val="Noto Sans CJK SC"/>
        <family val="2"/>
      </rPr>
      <t xml:space="preserve">대회의실 동벽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동측 창 </t>
    </r>
    <r>
      <rPr>
        <sz val="11"/>
        <rFont val="Arial"/>
        <family val="0"/>
        <charset val="1"/>
      </rPr>
      <t xml:space="preserve">5.44 - </t>
    </r>
    <r>
      <rPr>
        <sz val="11"/>
        <rFont val="Noto Sans CJK SC"/>
        <family val="2"/>
      </rPr>
      <t xml:space="preserve">기둥 </t>
    </r>
    <r>
      <rPr>
        <sz val="11"/>
        <rFont val="Arial"/>
        <family val="0"/>
        <charset val="1"/>
      </rPr>
      <t xml:space="preserve">0.21).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117.71-&gt;129.05. </t>
    </r>
    <r>
      <rPr>
        <sz val="11"/>
        <rFont val="Noto Sans CJK SC"/>
        <family val="2"/>
      </rPr>
      <t xml:space="preserve">이전 </t>
    </r>
    <r>
      <rPr>
        <sz val="11"/>
        <rFont val="Arial"/>
        <family val="0"/>
        <charset val="1"/>
      </rPr>
      <t xml:space="preserve">review: ok</t>
    </r>
  </si>
  <si>
    <r>
      <rPr>
        <b val="true"/>
        <sz val="13"/>
        <rFont val="Noto Sans CJK SC"/>
        <family val="2"/>
      </rPr>
      <t xml:space="preserve">견적팀</t>
    </r>
    <r>
      <rPr>
        <b val="true"/>
        <sz val="13"/>
        <rFont val="Arial"/>
        <family val="0"/>
        <charset val="1"/>
      </rPr>
      <t xml:space="preserve">·</t>
    </r>
    <r>
      <rPr>
        <b val="true"/>
        <sz val="13"/>
        <rFont val="Noto Sans CJK SC"/>
        <family val="2"/>
      </rPr>
      <t xml:space="preserve">발주처에 확인할 항목 </t>
    </r>
    <r>
      <rPr>
        <b val="true"/>
        <sz val="13"/>
        <rFont val="Arial"/>
        <family val="0"/>
        <charset val="1"/>
      </rPr>
      <t xml:space="preserve">(AI</t>
    </r>
    <r>
      <rPr>
        <b val="true"/>
        <sz val="13"/>
        <rFont val="Noto Sans CJK SC"/>
        <family val="2"/>
      </rPr>
      <t xml:space="preserve">가 혼자 결정하면 안 되는 경계</t>
    </r>
    <r>
      <rPr>
        <b val="true"/>
        <sz val="13"/>
        <rFont val="Arial"/>
        <family val="0"/>
        <charset val="1"/>
      </rPr>
      <t xml:space="preserve">)</t>
    </r>
  </si>
  <si>
    <t xml:space="preserve">#</t>
  </si>
  <si>
    <t xml:space="preserve">항목</t>
  </si>
  <si>
    <t xml:space="preserve">근거</t>
  </si>
  <si>
    <t xml:space="preserve">수량 영향</t>
  </si>
  <si>
    <t xml:space="preserve">질문</t>
  </si>
  <si>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(FCU </t>
    </r>
    <r>
      <rPr>
        <sz val="11"/>
        <rFont val="Noto Sans CJK SC"/>
        <family val="2"/>
      </rPr>
      <t xml:space="preserve">박스 구간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포함 여부</t>
    </r>
  </si>
  <si>
    <r>
      <rPr>
        <sz val="11"/>
        <rFont val="Noto Sans CJK SC"/>
        <family val="2"/>
      </rPr>
      <t xml:space="preserve">치수선이 창 앞에서 끝나고 </t>
    </r>
    <r>
      <rPr>
        <sz val="11"/>
        <rFont val="Arial"/>
        <family val="0"/>
        <charset val="1"/>
      </rPr>
      <t xml:space="preserve">555/450/439mm </t>
    </r>
    <r>
      <rPr>
        <sz val="11"/>
        <rFont val="Noto Sans CJK SC"/>
        <family val="2"/>
      </rPr>
      <t xml:space="preserve">띠가 별도 기재</t>
    </r>
    <r>
      <rPr>
        <sz val="11"/>
        <rFont val="Arial"/>
        <family val="0"/>
        <charset val="1"/>
      </rPr>
      <t xml:space="preserve">. AI</t>
    </r>
    <r>
      <rPr>
        <sz val="11"/>
        <rFont val="Noto Sans CJK SC"/>
        <family val="2"/>
      </rPr>
      <t xml:space="preserve">가 처음엔 이 띠를 빠뜨려 창가 회의실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임원실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곳이 </t>
    </r>
    <r>
      <rPr>
        <sz val="11"/>
        <rFont val="Arial"/>
        <family val="0"/>
        <charset val="1"/>
      </rPr>
      <t xml:space="preserve">10~19% </t>
    </r>
    <r>
      <rPr>
        <sz val="11"/>
        <rFont val="Noto Sans CJK SC"/>
        <family val="2"/>
      </rPr>
      <t xml:space="preserve">작게 나옴</t>
    </r>
  </si>
  <si>
    <r>
      <rPr>
        <sz val="11"/>
        <rFont val="Arial"/>
        <family val="0"/>
        <charset val="1"/>
      </rPr>
      <t xml:space="preserve">+61.1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(2F 31.4, 3F 29.8)</t>
    </r>
  </si>
  <si>
    <r>
      <rPr>
        <sz val="11"/>
        <rFont val="Arial"/>
        <family val="0"/>
        <charset val="1"/>
      </rPr>
      <t xml:space="preserve">FCU </t>
    </r>
    <r>
      <rPr>
        <sz val="11"/>
        <rFont val="Noto Sans CJK SC"/>
        <family val="2"/>
      </rPr>
      <t xml:space="preserve">박스 하부까지 바닥재를 까나요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박스 앞에서 끊나요</t>
    </r>
    <r>
      <rPr>
        <sz val="11"/>
        <rFont val="Arial"/>
        <family val="0"/>
        <charset val="1"/>
      </rPr>
      <t xml:space="preserve">?</t>
    </r>
  </si>
  <si>
    <t xml:space="preserve">내역 코드 번호 ≠ 도면 범례 번호</t>
  </si>
  <si>
    <r>
      <rPr>
        <sz val="11"/>
        <rFont val="Noto Sans CJK SC"/>
        <family val="2"/>
      </rPr>
      <t xml:space="preserve">도면에는 </t>
    </r>
    <r>
      <rPr>
        <sz val="11"/>
        <rFont val="Arial"/>
        <family val="0"/>
        <charset val="1"/>
      </rPr>
      <t xml:space="preserve">CT-01~03</t>
    </r>
    <r>
      <rPr>
        <sz val="11"/>
        <rFont val="Noto Sans CJK SC"/>
        <family val="2"/>
      </rPr>
      <t xml:space="preserve">만 있는데 내역에는 </t>
    </r>
    <r>
      <rPr>
        <sz val="11"/>
        <rFont val="Arial"/>
        <family val="0"/>
        <charset val="1"/>
      </rPr>
      <t xml:space="preserve">CT-01~05. </t>
    </r>
    <r>
      <rPr>
        <sz val="11"/>
        <rFont val="Noto Sans CJK SC"/>
        <family val="2"/>
      </rPr>
      <t xml:space="preserve">내역 </t>
    </r>
    <r>
      <rPr>
        <sz val="11"/>
        <rFont val="Arial"/>
        <family val="0"/>
        <charset val="1"/>
      </rPr>
      <t xml:space="preserve">CT-01(101</t>
    </r>
    <r>
      <rPr>
        <sz val="11"/>
        <rFont val="Noto Sans CJK SC"/>
        <family val="2"/>
      </rPr>
      <t xml:space="preserve">㎡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도면 </t>
    </r>
    <r>
      <rPr>
        <sz val="11"/>
        <rFont val="Arial"/>
        <family val="0"/>
        <charset val="1"/>
      </rPr>
      <t xml:space="preserve">CT-01 </t>
    </r>
    <r>
      <rPr>
        <sz val="11"/>
        <rFont val="Noto Sans CJK SC"/>
        <family val="2"/>
      </rPr>
      <t xml:space="preserve">실</t>
    </r>
    <r>
      <rPr>
        <sz val="11"/>
        <rFont val="Arial"/>
        <family val="0"/>
        <charset val="1"/>
      </rPr>
      <t xml:space="preserve">(B1 </t>
    </r>
    <r>
      <rPr>
        <sz val="11"/>
        <rFont val="Noto Sans CJK SC"/>
        <family val="2"/>
      </rPr>
      <t xml:space="preserve">대회의실 </t>
    </r>
    <r>
      <rPr>
        <sz val="11"/>
        <rFont val="Arial"/>
        <family val="0"/>
        <charset val="1"/>
      </rPr>
      <t xml:space="preserve">135</t>
    </r>
    <r>
      <rPr>
        <sz val="11"/>
        <rFont val="Noto Sans CJK SC"/>
        <family val="2"/>
      </rPr>
      <t xml:space="preserve">㎡ 단독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보다 작음 → 번호 체계가 다름</t>
    </r>
  </si>
  <si>
    <t xml:space="preserve">코드별 대조 불가</t>
  </si>
  <si>
    <r>
      <rPr>
        <sz val="11"/>
        <rFont val="Noto Sans CJK SC"/>
        <family val="2"/>
      </rPr>
      <t xml:space="preserve">내역 </t>
    </r>
    <r>
      <rPr>
        <sz val="11"/>
        <rFont val="Arial"/>
        <family val="0"/>
        <charset val="1"/>
      </rPr>
      <t xml:space="preserve">CT-01~05</t>
    </r>
    <r>
      <rPr>
        <sz val="11"/>
        <rFont val="Noto Sans CJK SC"/>
        <family val="2"/>
      </rPr>
      <t xml:space="preserve">가 각각 어느 실인지 매핑표가 있나요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</si>
  <si>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데코타일 면적 차이 </t>
    </r>
    <r>
      <rPr>
        <sz val="11"/>
        <rFont val="Arial"/>
        <family val="0"/>
        <charset val="1"/>
      </rPr>
      <t xml:space="preserve">+103</t>
    </r>
    <r>
      <rPr>
        <sz val="11"/>
        <rFont val="Noto Sans CJK SC"/>
        <family val="2"/>
      </rPr>
      <t xml:space="preserve">㎡</t>
    </r>
  </si>
  <si>
    <r>
      <rPr>
        <sz val="11"/>
        <rFont val="Noto Sans CJK SC"/>
        <family val="2"/>
      </rPr>
      <t xml:space="preserve">도면에서 코드가 붙은 </t>
    </r>
    <r>
      <rPr>
        <sz val="11"/>
        <rFont val="Arial"/>
        <family val="0"/>
        <charset val="1"/>
      </rPr>
      <t xml:space="preserve">DT </t>
    </r>
    <r>
      <rPr>
        <sz val="11"/>
        <rFont val="Noto Sans CJK SC"/>
        <family val="2"/>
      </rPr>
      <t xml:space="preserve">면적 </t>
    </r>
    <r>
      <rPr>
        <sz val="11"/>
        <rFont val="Arial"/>
        <family val="0"/>
        <charset val="1"/>
      </rPr>
      <t xml:space="preserve">760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vs </t>
    </r>
    <r>
      <rPr>
        <sz val="11"/>
        <rFont val="Noto Sans CJK SC"/>
        <family val="2"/>
      </rPr>
      <t xml:space="preserve">내역 </t>
    </r>
    <r>
      <rPr>
        <sz val="11"/>
        <rFont val="Arial"/>
        <family val="0"/>
        <charset val="1"/>
      </rPr>
      <t xml:space="preserve">863</t>
    </r>
    <r>
      <rPr>
        <sz val="11"/>
        <rFont val="Noto Sans CJK SC"/>
        <family val="2"/>
      </rPr>
      <t xml:space="preserve">㎡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후보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태그 없이 문구만 있는 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서버실</t>
    </r>
    <r>
      <rPr>
        <sz val="11"/>
        <rFont val="Arial"/>
        <family val="0"/>
        <charset val="1"/>
      </rPr>
      <t xml:space="preserve">·INFO·O.A ROOM </t>
    </r>
    <r>
      <rPr>
        <sz val="11"/>
        <rFont val="Noto Sans CJK SC"/>
        <family val="2"/>
      </rPr>
      <t xml:space="preserve">등 무코드 실</t>
    </r>
    <r>
      <rPr>
        <sz val="11"/>
        <rFont val="Arial"/>
        <family val="0"/>
        <charset val="1"/>
      </rPr>
      <t xml:space="preserve">, B1 </t>
    </r>
    <r>
      <rPr>
        <sz val="11"/>
        <rFont val="Noto Sans CJK SC"/>
        <family val="2"/>
      </rPr>
      <t xml:space="preserve">미표기 구역</t>
    </r>
  </si>
  <si>
    <r>
      <rPr>
        <sz val="11"/>
        <rFont val="Arial"/>
        <family val="0"/>
        <charset val="1"/>
      </rPr>
      <t xml:space="preserve">+103</t>
    </r>
    <r>
      <rPr>
        <sz val="11"/>
        <rFont val="Noto Sans CJK SC"/>
        <family val="2"/>
      </rPr>
      <t xml:space="preserve">㎡</t>
    </r>
  </si>
  <si>
    <r>
      <rPr>
        <sz val="11"/>
        <rFont val="Noto Sans CJK SC"/>
        <family val="2"/>
      </rPr>
      <t xml:space="preserve">코드 태그가 없는 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서버실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도 데코타일로 산출하나요</t>
    </r>
    <r>
      <rPr>
        <sz val="11"/>
        <rFont val="Arial"/>
        <family val="0"/>
        <charset val="1"/>
      </rPr>
      <t xml:space="preserve">?</t>
    </r>
  </si>
  <si>
    <t xml:space="preserve">태그 없는 실의 마감 문구</t>
  </si>
  <si>
    <r>
      <rPr>
        <sz val="11"/>
        <rFont val="Arial"/>
        <family val="0"/>
        <charset val="1"/>
      </rPr>
      <t xml:space="preserve">B1 </t>
    </r>
    <r>
      <rPr>
        <sz val="11"/>
        <rFont val="Noto Sans CJK SC"/>
        <family val="2"/>
      </rPr>
      <t xml:space="preserve">기사대기실 </t>
    </r>
    <r>
      <rPr>
        <sz val="11"/>
        <rFont val="Arial"/>
        <family val="0"/>
        <charset val="1"/>
      </rPr>
      <t xml:space="preserve">'~DELUXE TILE FIN.', 2F </t>
    </r>
    <r>
      <rPr>
        <sz val="11"/>
        <rFont val="Noto Sans CJK SC"/>
        <family val="2"/>
      </rPr>
      <t xml:space="preserve">직원휴게실 </t>
    </r>
    <r>
      <rPr>
        <sz val="11"/>
        <rFont val="Arial"/>
        <family val="0"/>
        <charset val="1"/>
      </rPr>
      <t xml:space="preserve">'~DECO TILE FIN.' </t>
    </r>
    <r>
      <rPr>
        <sz val="11"/>
        <rFont val="Noto Sans CJK SC"/>
        <family val="2"/>
      </rPr>
      <t xml:space="preserve">등 코드 태그 없이 문구만 있음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</si>
  <si>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21</t>
    </r>
    <r>
      <rPr>
        <sz val="11"/>
        <rFont val="Noto Sans CJK SC"/>
        <family val="2"/>
      </rPr>
      <t xml:space="preserve">㎡</t>
    </r>
  </si>
  <si>
    <r>
      <rPr>
        <sz val="11"/>
        <rFont val="Noto Sans CJK SC"/>
        <family val="2"/>
      </rPr>
      <t xml:space="preserve">문구만 있는 실도 해당 코드로 산출하나요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</si>
  <si>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단상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우드플로링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하부</t>
    </r>
  </si>
  <si>
    <r>
      <rPr>
        <sz val="11"/>
        <rFont val="Arial"/>
        <family val="0"/>
        <charset val="1"/>
      </rPr>
      <t xml:space="preserve">B1 </t>
    </r>
    <r>
      <rPr>
        <sz val="11"/>
        <rFont val="Noto Sans CJK SC"/>
        <family val="2"/>
      </rPr>
      <t xml:space="preserve">다목적 대회의실 단상 </t>
    </r>
    <r>
      <rPr>
        <sz val="11"/>
        <rFont val="Arial"/>
        <family val="0"/>
        <charset val="1"/>
      </rPr>
      <t xml:space="preserve">6000x1200 - </t>
    </r>
    <r>
      <rPr>
        <sz val="11"/>
        <rFont val="Noto Sans CJK SC"/>
        <family val="2"/>
      </rPr>
      <t xml:space="preserve">내역에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단상설치 </t>
    </r>
    <r>
      <rPr>
        <sz val="11"/>
        <rFont val="Arial"/>
        <family val="0"/>
        <charset val="1"/>
      </rPr>
      <t xml:space="preserve">1EA' </t>
    </r>
    <r>
      <rPr>
        <sz val="11"/>
        <rFont val="Noto Sans CJK SC"/>
        <family val="2"/>
      </rPr>
      <t xml:space="preserve">별도</t>
    </r>
  </si>
  <si>
    <r>
      <rPr>
        <sz val="11"/>
        <rFont val="Arial"/>
        <family val="0"/>
        <charset val="1"/>
      </rPr>
      <t xml:space="preserve">-7.2</t>
    </r>
    <r>
      <rPr>
        <sz val="11"/>
        <rFont val="Noto Sans CJK SC"/>
        <family val="2"/>
      </rPr>
      <t xml:space="preserve">㎡ </t>
    </r>
    <r>
      <rPr>
        <sz val="11"/>
        <rFont val="Arial"/>
        <family val="0"/>
        <charset val="1"/>
      </rPr>
      <t xml:space="preserve">(CT-01)</t>
    </r>
  </si>
  <si>
    <r>
      <rPr>
        <sz val="11"/>
        <rFont val="Noto Sans CJK SC"/>
        <family val="2"/>
      </rPr>
      <t xml:space="preserve">단상 하부에 카펫을 깔지 않는 게 맞나요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</si>
  <si>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규격 불일치 </t>
    </r>
    <r>
      <rPr>
        <sz val="11"/>
        <rFont val="Arial"/>
        <family val="0"/>
        <charset val="1"/>
      </rPr>
      <t xml:space="preserve">DE-01</t>
    </r>
  </si>
  <si>
    <r>
      <rPr>
        <sz val="11"/>
        <rFont val="Noto Sans CJK SC"/>
        <family val="2"/>
      </rPr>
      <t xml:space="preserve">내역 </t>
    </r>
    <r>
      <rPr>
        <sz val="11"/>
        <rFont val="Arial"/>
        <family val="0"/>
        <charset val="1"/>
      </rPr>
      <t xml:space="preserve">300x300 ↔ </t>
    </r>
    <r>
      <rPr>
        <sz val="11"/>
        <rFont val="Noto Sans CJK SC"/>
        <family val="2"/>
      </rPr>
      <t xml:space="preserve">도면 범례 </t>
    </r>
    <r>
      <rPr>
        <sz val="11"/>
        <rFont val="Arial"/>
        <family val="0"/>
        <charset val="1"/>
      </rPr>
      <t xml:space="preserve">450x450</t>
    </r>
  </si>
  <si>
    <t xml:space="preserve">단가 영향</t>
  </si>
  <si>
    <r>
      <rPr>
        <sz val="11"/>
        <rFont val="Noto Sans CJK SC"/>
        <family val="2"/>
      </rPr>
      <t xml:space="preserve">최종 규격은 어느 쪽인가요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</si>
  <si>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규격 불일치 </t>
    </r>
    <r>
      <rPr>
        <sz val="11"/>
        <rFont val="Arial"/>
        <family val="0"/>
        <charset val="1"/>
      </rPr>
      <t xml:space="preserve">DT-01</t>
    </r>
  </si>
  <si>
    <r>
      <rPr>
        <sz val="11"/>
        <rFont val="Noto Sans CJK SC"/>
        <family val="2"/>
      </rPr>
      <t xml:space="preserve">내역 </t>
    </r>
    <r>
      <rPr>
        <sz val="11"/>
        <rFont val="Arial"/>
        <family val="0"/>
        <charset val="1"/>
      </rPr>
      <t xml:space="preserve">450x450 ↔ MATERIAL LIST 600x600 T5</t>
    </r>
  </si>
  <si>
    <t xml:space="preserve">폴딩도어 구간 걸레받이</t>
  </si>
  <si>
    <t xml:space="preserve">이동식 칸막이 하부는 벽이 아니므로 제외로 처리</t>
  </si>
  <si>
    <r>
      <rPr>
        <sz val="11"/>
        <rFont val="Noto Sans CJK SC"/>
        <family val="2"/>
      </rPr>
      <t xml:space="preserve">수 </t>
    </r>
    <r>
      <rPr>
        <sz val="11"/>
        <rFont val="Arial"/>
        <family val="0"/>
        <charset val="1"/>
      </rPr>
      <t xml:space="preserve">m</t>
    </r>
  </si>
  <si>
    <r>
      <rPr>
        <sz val="11"/>
        <rFont val="Noto Sans CJK SC"/>
        <family val="2"/>
      </rPr>
      <t xml:space="preserve">폴딩도어 하부 걸레받이 처리 기준은</t>
    </r>
    <r>
      <rPr>
        <sz val="11"/>
        <rFont val="Arial"/>
        <family val="0"/>
        <charset val="1"/>
      </rPr>
      <t xml:space="preserve">?</t>
    </r>
  </si>
  <si>
    <t xml:space="preserve">걸레받이 총량 차이</t>
  </si>
  <si>
    <r>
      <rPr>
        <sz val="11"/>
        <rFont val="Arial"/>
        <family val="0"/>
        <charset val="1"/>
      </rPr>
      <t xml:space="preserve">AI 460m vs </t>
    </r>
    <r>
      <rPr>
        <sz val="11"/>
        <rFont val="Noto Sans CJK SC"/>
        <family val="2"/>
      </rPr>
      <t xml:space="preserve">내역 </t>
    </r>
    <r>
      <rPr>
        <sz val="11"/>
        <rFont val="Arial"/>
        <family val="0"/>
        <charset val="1"/>
      </rPr>
      <t xml:space="preserve">765m. </t>
    </r>
    <r>
      <rPr>
        <sz val="11"/>
        <rFont val="Noto Sans CJK SC"/>
        <family val="2"/>
      </rPr>
      <t xml:space="preserve">열린 사무실 외곽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기둥 둘레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가구 뒤 처리 기준이 다른 것으로 추정</t>
    </r>
  </si>
  <si>
    <t xml:space="preserve">-305m</t>
  </si>
  <si>
    <r>
      <rPr>
        <sz val="11"/>
        <rFont val="Noto Sans CJK SC"/>
        <family val="2"/>
      </rPr>
      <t xml:space="preserve">기둥 둘레와 붙박이 가구 뒤에도 걸레받이를 넣나요</t>
    </r>
    <r>
      <rPr>
        <sz val="11"/>
        <rFont val="Arial"/>
        <family val="0"/>
        <charset val="1"/>
      </rPr>
      <t xml:space="preserve">?</t>
    </r>
  </si>
  <si>
    <r>
      <rPr>
        <b val="true"/>
        <sz val="13"/>
        <rFont val="Noto Sans CJK SC"/>
        <family val="2"/>
      </rPr>
      <t xml:space="preserve">하네스 실험 기록 </t>
    </r>
    <r>
      <rPr>
        <b val="true"/>
        <sz val="13"/>
        <rFont val="Arial"/>
        <family val="0"/>
        <charset val="1"/>
      </rPr>
      <t xml:space="preserve">- </t>
    </r>
    <r>
      <rPr>
        <b val="true"/>
        <sz val="13"/>
        <rFont val="Noto Sans CJK SC"/>
        <family val="2"/>
      </rPr>
      <t xml:space="preserve">같은 도면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같은 모델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지시</t>
    </r>
    <r>
      <rPr>
        <b val="true"/>
        <sz val="13"/>
        <rFont val="Arial"/>
        <family val="0"/>
        <charset val="1"/>
      </rPr>
      <t xml:space="preserve">·</t>
    </r>
    <r>
      <rPr>
        <b val="true"/>
        <sz val="13"/>
        <rFont val="Noto Sans CJK SC"/>
        <family val="2"/>
      </rPr>
      <t xml:space="preserve">도구만 바꿔 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회 실행</t>
    </r>
  </si>
  <si>
    <t xml:space="preserve">버전</t>
  </si>
  <si>
    <t xml:space="preserve">바꾼 것</t>
  </si>
  <si>
    <t xml:space="preserve">실 단위 평균오차</t>
  </si>
  <si>
    <r>
      <rPr>
        <b val="true"/>
        <sz val="11"/>
        <color rgb="FFFFFFFF"/>
        <rFont val="Arial"/>
        <family val="0"/>
        <charset val="1"/>
      </rPr>
      <t xml:space="preserve">±5% </t>
    </r>
    <r>
      <rPr>
        <b val="true"/>
        <sz val="11"/>
        <color rgb="FFFFFFFF"/>
        <rFont val="Noto Sans CJK SC"/>
        <family val="2"/>
      </rPr>
      <t xml:space="preserve">이내 실</t>
    </r>
  </si>
  <si>
    <t xml:space="preserve">근거 있는 면적 비율</t>
  </si>
  <si>
    <r>
      <rPr>
        <b val="true"/>
        <sz val="11"/>
        <color rgb="FFFFFFFF"/>
        <rFont val="Noto Sans CJK SC"/>
        <family val="2"/>
      </rPr>
      <t xml:space="preserve">합계 오차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도면 기준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</si>
  <si>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v1</t>
  </si>
  <si>
    <r>
      <rPr>
        <sz val="11"/>
        <rFont val="Noto Sans CJK SC"/>
        <family val="2"/>
      </rPr>
      <t xml:space="preserve">도면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장 주고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물량 산출해줘</t>
    </r>
    <r>
      <rPr>
        <sz val="11"/>
        <rFont val="Arial"/>
        <family val="0"/>
        <charset val="1"/>
      </rPr>
      <t xml:space="preserve">'</t>
    </r>
  </si>
  <si>
    <r>
      <rPr>
        <sz val="11"/>
        <rFont val="Noto Sans CJK SC"/>
        <family val="2"/>
      </rPr>
      <t xml:space="preserve">채점 불가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근거 없음</t>
    </r>
    <r>
      <rPr>
        <sz val="11"/>
        <rFont val="Arial"/>
        <family val="0"/>
        <charset val="1"/>
      </rPr>
      <t xml:space="preserve">)</t>
    </r>
  </si>
  <si>
    <t xml:space="preserve">0/19</t>
  </si>
  <si>
    <t xml:space="preserve">v2</t>
  </si>
  <si>
    <r>
      <rPr>
        <sz val="11"/>
        <rFont val="Noto Sans CJK SC"/>
        <family val="2"/>
      </rPr>
      <t xml:space="preserve">실별 표 형식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근거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신뢰도 기재 강제</t>
    </r>
  </si>
  <si>
    <t xml:space="preserve">6/19</t>
  </si>
  <si>
    <t xml:space="preserve">v3</t>
  </si>
  <si>
    <r>
      <rPr>
        <sz val="11"/>
        <rFont val="Noto Sans CJK SC"/>
        <family val="2"/>
      </rPr>
      <t xml:space="preserve">입력 추가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치수 도면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고해상도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분할 타일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적힌 숫자만 사용</t>
    </r>
  </si>
  <si>
    <t xml:space="preserve">4/19</t>
  </si>
  <si>
    <t xml:space="preserve">v4</t>
  </si>
  <si>
    <r>
      <rPr>
        <sz val="11"/>
        <rFont val="Noto Sans CJK SC"/>
        <family val="2"/>
      </rPr>
      <t xml:space="preserve">견적 실무 규칙 </t>
    </r>
    <r>
      <rPr>
        <sz val="11"/>
        <rFont val="Arial"/>
        <family val="0"/>
        <charset val="1"/>
      </rPr>
      <t xml:space="preserve">R1~R7 (</t>
    </r>
    <r>
      <rPr>
        <sz val="11"/>
        <rFont val="Noto Sans CJK SC"/>
        <family val="2"/>
      </rPr>
      <t xml:space="preserve">안목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기둥 공제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이중계산 금지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정미량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층별 검산</t>
    </r>
    <r>
      <rPr>
        <sz val="11"/>
        <rFont val="Arial"/>
        <family val="0"/>
        <charset val="1"/>
      </rPr>
      <t xml:space="preserve">)</t>
    </r>
  </si>
  <si>
    <t xml:space="preserve">8/19</t>
  </si>
  <si>
    <t xml:space="preserve">v5</t>
  </si>
  <si>
    <r>
      <rPr>
        <sz val="11"/>
        <rFont val="Noto Sans CJK SC"/>
        <family val="2"/>
      </rPr>
      <t xml:space="preserve">검토자 에이전트가 </t>
    </r>
    <r>
      <rPr>
        <sz val="11"/>
        <rFont val="Arial"/>
        <family val="0"/>
        <charset val="1"/>
      </rPr>
      <t xml:space="preserve">v4</t>
    </r>
    <r>
      <rPr>
        <sz val="11"/>
        <rFont val="Noto Sans CJK SC"/>
        <family val="2"/>
      </rPr>
      <t xml:space="preserve">를 도면과 대조해 수정</t>
    </r>
  </si>
  <si>
    <t xml:space="preserve">v6</t>
  </si>
  <si>
    <r>
      <rPr>
        <sz val="11"/>
        <rFont val="Noto Sans CJK SC"/>
        <family val="2"/>
      </rPr>
      <t xml:space="preserve">검증 데이터에서 찾은 오차 패턴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창측 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규칙 추가</t>
    </r>
  </si>
  <si>
    <t xml:space="preserve">13/19</t>
  </si>
  <si>
    <r>
      <rPr>
        <i val="true"/>
        <sz val="11"/>
        <color rgb="FF666666"/>
        <rFont val="Noto Sans CJK SC"/>
        <family val="2"/>
      </rPr>
      <t xml:space="preserve">주의</t>
    </r>
    <r>
      <rPr>
        <i val="true"/>
        <sz val="11"/>
        <color rgb="FF666666"/>
        <rFont val="Arial"/>
        <family val="0"/>
        <charset val="1"/>
      </rPr>
      <t xml:space="preserve">: v6 </t>
    </r>
    <r>
      <rPr>
        <i val="true"/>
        <sz val="11"/>
        <color rgb="FF666666"/>
        <rFont val="Noto Sans CJK SC"/>
        <family val="2"/>
      </rPr>
      <t xml:space="preserve">규칙은 검증 세트</t>
    </r>
    <r>
      <rPr>
        <i val="true"/>
        <sz val="11"/>
        <color rgb="FF666666"/>
        <rFont val="Arial"/>
        <family val="0"/>
        <charset val="1"/>
      </rPr>
      <t xml:space="preserve">(19</t>
    </r>
    <r>
      <rPr>
        <i val="true"/>
        <sz val="11"/>
        <color rgb="FF666666"/>
        <rFont val="Noto Sans CJK SC"/>
        <family val="2"/>
      </rPr>
      <t xml:space="preserve">실</t>
    </r>
    <r>
      <rPr>
        <i val="true"/>
        <sz val="11"/>
        <color rgb="FF666666"/>
        <rFont val="Arial"/>
        <family val="0"/>
        <charset val="1"/>
      </rPr>
      <t xml:space="preserve">)</t>
    </r>
    <r>
      <rPr>
        <i val="true"/>
        <sz val="11"/>
        <color rgb="FF666666"/>
        <rFont val="Noto Sans CJK SC"/>
        <family val="2"/>
      </rPr>
      <t xml:space="preserve">의 오차를 보고 찾았고 같은 세트로 평가했으므로 낙관적일 수 있음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Noto Sans CJK SC"/>
        <family val="2"/>
      </rPr>
      <t xml:space="preserve">공사 </t>
    </r>
    <r>
      <rPr>
        <i val="true"/>
        <sz val="11"/>
        <color rgb="FF666666"/>
        <rFont val="Arial"/>
        <family val="0"/>
        <charset val="1"/>
      </rPr>
      <t xml:space="preserve">1</t>
    </r>
    <r>
      <rPr>
        <i val="true"/>
        <sz val="11"/>
        <color rgb="FF666666"/>
        <rFont val="Noto Sans CJK SC"/>
        <family val="2"/>
      </rPr>
      <t xml:space="preserve">건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버전별 </t>
    </r>
    <r>
      <rPr>
        <i val="true"/>
        <sz val="11"/>
        <color rgb="FF666666"/>
        <rFont val="Arial"/>
        <family val="0"/>
        <charset val="1"/>
      </rPr>
      <t xml:space="preserve">1</t>
    </r>
    <r>
      <rPr>
        <i val="true"/>
        <sz val="11"/>
        <color rgb="FF666666"/>
        <rFont val="Noto Sans CJK SC"/>
        <family val="2"/>
      </rPr>
      <t xml:space="preserve">회 실행</t>
    </r>
    <r>
      <rPr>
        <i val="true"/>
        <sz val="11"/>
        <color rgb="FF666666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</si>
</sst>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0.0%"/>
    <numFmt numFmtId="167" formatCode="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i val="true"/>
      <sz val="11"/>
      <color rgb="FF666666"/>
      <name val="Noto Sans CJK SC"/>
      <family val="2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theme="1"/>
      <name val="Noto Sans CJK SC"/>
      <family val="2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2B3A42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50"/>
  </cols>
  <sheetData>
    <row r="1" customFormat="false" ht="20.1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4" customFormat="false" ht="17.15" hidden="false" customHeight="false" outlineLevel="0" collapsed="false">
      <c r="A4" s="3" t="s">
        <v>2</v>
      </c>
      <c r="B4" s="3" t="s">
        <v>3</v>
      </c>
      <c r="C4" s="3" t="s">
        <v>4</v>
      </c>
      <c r="D4" s="4" t="s">
        <v>5</v>
      </c>
      <c r="E4" s="3" t="s">
        <v>6</v>
      </c>
      <c r="F4" s="3" t="s">
        <v>7</v>
      </c>
      <c r="G4" s="4" t="s">
        <v>8</v>
      </c>
      <c r="H4" s="4" t="s">
        <v>9</v>
      </c>
      <c r="I4" s="3" t="s">
        <v>10</v>
      </c>
    </row>
    <row r="5" customFormat="false" ht="30" hidden="false" customHeight="true" outlineLevel="0" collapsed="false">
      <c r="A5" s="5" t="s">
        <v>11</v>
      </c>
      <c r="B5" s="6" t="s">
        <v>12</v>
      </c>
      <c r="C5" s="7" t="s">
        <v>13</v>
      </c>
      <c r="D5" s="8" t="n">
        <f aca="false">SUMIFS(산출근거서!$G$5:$G$40,산출근거서!$D$5:$D$40,"DE-01")</f>
        <v>71.01</v>
      </c>
      <c r="E5" s="9" t="n">
        <v>66.08</v>
      </c>
      <c r="F5" s="10" t="n">
        <v>59</v>
      </c>
      <c r="G5" s="11" t="n">
        <f aca="false">(D5-E5)/E5</f>
        <v>0.0746065375302664</v>
      </c>
      <c r="H5" s="8" t="n">
        <f aca="false">D5-F5</f>
        <v>12.01</v>
      </c>
      <c r="I5" s="6" t="s">
        <v>14</v>
      </c>
    </row>
    <row r="6" customFormat="false" ht="30" hidden="false" customHeight="true" outlineLevel="0" collapsed="false">
      <c r="A6" s="5" t="s">
        <v>15</v>
      </c>
      <c r="B6" s="6" t="s">
        <v>16</v>
      </c>
      <c r="C6" s="7" t="s">
        <v>13</v>
      </c>
      <c r="D6" s="8" t="n">
        <f aca="false">SUMIFS(산출근거서!$G$5:$G$40,산출근거서!$D$5:$D$40,"DT-01")</f>
        <v>48.87</v>
      </c>
      <c r="E6" s="9" t="n">
        <v>43.11</v>
      </c>
      <c r="F6" s="10" t="n">
        <v>88</v>
      </c>
      <c r="G6" s="11" t="n">
        <f aca="false">(D6-E6)/E6</f>
        <v>0.133611691022964</v>
      </c>
      <c r="H6" s="8" t="n">
        <f aca="false">D6-F6</f>
        <v>-39.13</v>
      </c>
      <c r="I6" s="6" t="s">
        <v>17</v>
      </c>
    </row>
    <row r="7" customFormat="false" ht="30" hidden="false" customHeight="true" outlineLevel="0" collapsed="false">
      <c r="A7" s="5" t="s">
        <v>18</v>
      </c>
      <c r="B7" s="6" t="s">
        <v>19</v>
      </c>
      <c r="C7" s="7" t="s">
        <v>13</v>
      </c>
      <c r="D7" s="8" t="n">
        <f aca="false">SUMIFS(산출근거서!$G$5:$G$40,산출근거서!$D$5:$D$40,"DT-02")</f>
        <v>237.93</v>
      </c>
      <c r="E7" s="9" t="n">
        <v>246.72</v>
      </c>
      <c r="F7" s="10" t="n">
        <v>283</v>
      </c>
      <c r="G7" s="11" t="n">
        <f aca="false">(D7-E7)/E7</f>
        <v>-0.0356274319066148</v>
      </c>
      <c r="H7" s="8" t="n">
        <f aca="false">D7-F7</f>
        <v>-45.07</v>
      </c>
      <c r="I7" s="6"/>
    </row>
    <row r="8" customFormat="false" ht="30" hidden="false" customHeight="true" outlineLevel="0" collapsed="false">
      <c r="A8" s="5" t="s">
        <v>20</v>
      </c>
      <c r="B8" s="6" t="s">
        <v>19</v>
      </c>
      <c r="C8" s="7" t="s">
        <v>13</v>
      </c>
      <c r="D8" s="8" t="n">
        <f aca="false">SUMIFS(산출근거서!$G$5:$G$40,산출근거서!$D$5:$D$40,"DT-03")</f>
        <v>434.53</v>
      </c>
      <c r="E8" s="9" t="n">
        <v>469.75</v>
      </c>
      <c r="F8" s="10" t="n">
        <v>492</v>
      </c>
      <c r="G8" s="11" t="n">
        <f aca="false">(D8-E8)/E8</f>
        <v>-0.0749760510910058</v>
      </c>
      <c r="H8" s="8" t="n">
        <f aca="false">D8-F8</f>
        <v>-57.47</v>
      </c>
      <c r="I8" s="6"/>
    </row>
    <row r="9" customFormat="false" ht="30" hidden="false" customHeight="true" outlineLevel="0" collapsed="false">
      <c r="A9" s="5" t="s">
        <v>21</v>
      </c>
      <c r="B9" s="6" t="s">
        <v>22</v>
      </c>
      <c r="C9" s="7" t="s">
        <v>13</v>
      </c>
      <c r="D9" s="8" t="n">
        <f aca="false">SUMIFS(산출근거서!$G$5:$G$40,산출근거서!$D$5:$D$40,"CT-01")</f>
        <v>189.54</v>
      </c>
      <c r="E9" s="9" t="n">
        <v>199.91</v>
      </c>
      <c r="F9" s="10" t="n">
        <v>101</v>
      </c>
      <c r="G9" s="11" t="n">
        <f aca="false">(D9-E9)/E9</f>
        <v>-0.051873343004352</v>
      </c>
      <c r="H9" s="8" t="n">
        <f aca="false">D9-F9</f>
        <v>88.54</v>
      </c>
      <c r="I9" s="12" t="s">
        <v>23</v>
      </c>
    </row>
    <row r="10" customFormat="false" ht="30" hidden="false" customHeight="true" outlineLevel="0" collapsed="false">
      <c r="A10" s="5" t="s">
        <v>24</v>
      </c>
      <c r="B10" s="6" t="s">
        <v>22</v>
      </c>
      <c r="C10" s="7" t="s">
        <v>13</v>
      </c>
      <c r="D10" s="8" t="n">
        <f aca="false">SUMIFS(산출근거서!$G$5:$G$40,산출근거서!$D$5:$D$40,"CT-02")</f>
        <v>96.5</v>
      </c>
      <c r="E10" s="9" t="n">
        <v>97.28</v>
      </c>
      <c r="F10" s="10" t="n">
        <v>79</v>
      </c>
      <c r="G10" s="11" t="n">
        <f aca="false">(D10-E10)/E10</f>
        <v>-0.00801809210526317</v>
      </c>
      <c r="H10" s="8" t="n">
        <f aca="false">D10-F10</f>
        <v>17.5</v>
      </c>
      <c r="I10" s="6"/>
    </row>
    <row r="11" customFormat="false" ht="30" hidden="false" customHeight="true" outlineLevel="0" collapsed="false">
      <c r="A11" s="5" t="s">
        <v>25</v>
      </c>
      <c r="B11" s="6" t="s">
        <v>22</v>
      </c>
      <c r="C11" s="7" t="s">
        <v>13</v>
      </c>
      <c r="D11" s="8" t="n">
        <f aca="false">SUMIFS(산출근거서!$G$5:$G$40,산출근거서!$D$5:$D$40,"CT-03")</f>
        <v>78.03</v>
      </c>
      <c r="E11" s="9" t="n">
        <v>74.73</v>
      </c>
      <c r="F11" s="10" t="n">
        <v>111</v>
      </c>
      <c r="G11" s="11" t="n">
        <f aca="false">(D11-E11)/E11</f>
        <v>0.044158972300281</v>
      </c>
      <c r="H11" s="8" t="n">
        <f aca="false">D11-F11</f>
        <v>-32.97</v>
      </c>
      <c r="I11" s="6"/>
    </row>
    <row r="12" customFormat="false" ht="30" hidden="false" customHeight="true" outlineLevel="0" collapsed="false">
      <c r="A12" s="5" t="s">
        <v>26</v>
      </c>
      <c r="B12" s="6" t="s">
        <v>27</v>
      </c>
      <c r="C12" s="7" t="s">
        <v>13</v>
      </c>
      <c r="D12" s="8" t="n">
        <v>0</v>
      </c>
      <c r="E12" s="9" t="n">
        <v>0</v>
      </c>
      <c r="F12" s="10" t="n">
        <v>88</v>
      </c>
      <c r="G12" s="11"/>
      <c r="H12" s="8" t="n">
        <f aca="false">D12-F12</f>
        <v>-88</v>
      </c>
      <c r="I12" s="6" t="s">
        <v>28</v>
      </c>
    </row>
    <row r="13" customFormat="false" ht="30" hidden="false" customHeight="true" outlineLevel="0" collapsed="false">
      <c r="A13" s="5" t="s">
        <v>29</v>
      </c>
      <c r="B13" s="6" t="s">
        <v>27</v>
      </c>
      <c r="C13" s="7" t="s">
        <v>13</v>
      </c>
      <c r="D13" s="8" t="n">
        <v>0</v>
      </c>
      <c r="E13" s="9" t="n">
        <v>0</v>
      </c>
      <c r="F13" s="10" t="n">
        <v>22</v>
      </c>
      <c r="G13" s="11"/>
      <c r="H13" s="8" t="n">
        <f aca="false">D13-F13</f>
        <v>-22</v>
      </c>
      <c r="I13" s="6" t="s">
        <v>28</v>
      </c>
    </row>
    <row r="14" customFormat="false" ht="30" hidden="false" customHeight="true" outlineLevel="0" collapsed="false">
      <c r="A14" s="13" t="s">
        <v>30</v>
      </c>
      <c r="B14" s="6"/>
      <c r="C14" s="5"/>
      <c r="D14" s="14" t="n">
        <f aca="false">SUM(D5:D13)</f>
        <v>1156.41</v>
      </c>
      <c r="E14" s="14" t="n">
        <f aca="false">SUM(E5:E13)</f>
        <v>1197.58</v>
      </c>
      <c r="F14" s="14" t="n">
        <f aca="false">SUM(F5:F13)</f>
        <v>1323</v>
      </c>
      <c r="G14" s="11" t="n">
        <f aca="false">(D14-E14)/E14</f>
        <v>-0.0343776616175954</v>
      </c>
      <c r="H14" s="8" t="n">
        <f aca="false">D14-F14</f>
        <v>-166.59</v>
      </c>
      <c r="I14" s="6" t="s">
        <v>31</v>
      </c>
    </row>
    <row r="15" customFormat="false" ht="30" hidden="false" customHeight="true" outlineLevel="0" collapsed="false">
      <c r="A15" s="5" t="s">
        <v>32</v>
      </c>
      <c r="B15" s="12" t="s">
        <v>33</v>
      </c>
      <c r="C15" s="7" t="s">
        <v>34</v>
      </c>
      <c r="D15" s="8" t="n">
        <f aca="false">SUM(산출근거서!$H$5:$H$40)</f>
        <v>459.98</v>
      </c>
      <c r="E15" s="8"/>
      <c r="F15" s="10" t="n">
        <v>765</v>
      </c>
      <c r="G15" s="11"/>
      <c r="H15" s="8" t="n">
        <f aca="false">D15-F15</f>
        <v>-305.02</v>
      </c>
      <c r="I15" s="6" t="s">
        <v>35</v>
      </c>
    </row>
    <row r="17" customFormat="false" ht="17.15" hidden="false" customHeight="false" outlineLevel="0" collapsed="false">
      <c r="A17" s="15" t="s">
        <v>36</v>
      </c>
    </row>
    <row r="18" customFormat="false" ht="17.15" hidden="false" customHeight="false" outlineLevel="0" collapsed="false">
      <c r="A18" s="16" t="s">
        <v>37</v>
      </c>
      <c r="B18" s="16"/>
      <c r="C18" s="16" t="s">
        <v>4</v>
      </c>
      <c r="D18" s="17" t="s">
        <v>38</v>
      </c>
      <c r="E18" s="16" t="s">
        <v>6</v>
      </c>
      <c r="F18" s="16" t="s">
        <v>39</v>
      </c>
      <c r="G18" s="17" t="s">
        <v>8</v>
      </c>
      <c r="H18" s="16" t="s">
        <v>40</v>
      </c>
      <c r="I18" s="16" t="s">
        <v>41</v>
      </c>
    </row>
    <row r="19" customFormat="false" ht="30" hidden="false" customHeight="true" outlineLevel="0" collapsed="false">
      <c r="A19" s="18" t="s">
        <v>42</v>
      </c>
      <c r="B19" s="18"/>
      <c r="C19" s="18" t="s">
        <v>13</v>
      </c>
      <c r="D19" s="19" t="n">
        <f aca="false">D5</f>
        <v>71.01</v>
      </c>
      <c r="E19" s="19" t="n">
        <f aca="false">E5</f>
        <v>66.08</v>
      </c>
      <c r="F19" s="19" t="n">
        <f aca="false">F5</f>
        <v>59</v>
      </c>
      <c r="G19" s="20" t="n">
        <f aca="false">(D19-E19)/E19</f>
        <v>0.0746065375302664</v>
      </c>
      <c r="H19" s="19" t="n">
        <f aca="false">F19-E19</f>
        <v>-7.08</v>
      </c>
      <c r="I19" s="21" t="s">
        <v>43</v>
      </c>
    </row>
    <row r="20" customFormat="false" ht="30" hidden="false" customHeight="true" outlineLevel="0" collapsed="false">
      <c r="A20" s="18" t="s">
        <v>44</v>
      </c>
      <c r="B20" s="18"/>
      <c r="C20" s="18" t="s">
        <v>13</v>
      </c>
      <c r="D20" s="19" t="n">
        <f aca="false">D6+D7+D8</f>
        <v>721.33</v>
      </c>
      <c r="E20" s="19" t="n">
        <f aca="false">E6+E7+E8</f>
        <v>759.58</v>
      </c>
      <c r="F20" s="19" t="n">
        <f aca="false">F6+F7+F8</f>
        <v>863</v>
      </c>
      <c r="G20" s="20" t="n">
        <f aca="false">(D20-E20)/E20</f>
        <v>-0.050356776113115</v>
      </c>
      <c r="H20" s="19" t="n">
        <f aca="false">F20-E20</f>
        <v>103.42</v>
      </c>
      <c r="I20" s="21" t="s">
        <v>45</v>
      </c>
    </row>
    <row r="21" customFormat="false" ht="30" hidden="false" customHeight="true" outlineLevel="0" collapsed="false">
      <c r="A21" s="18" t="s">
        <v>46</v>
      </c>
      <c r="B21" s="18"/>
      <c r="C21" s="18" t="s">
        <v>13</v>
      </c>
      <c r="D21" s="19" t="n">
        <f aca="false">D9+D10+D11+D12+D13</f>
        <v>364.07</v>
      </c>
      <c r="E21" s="19" t="n">
        <f aca="false">E9+E10+E11+E12+E13</f>
        <v>371.92</v>
      </c>
      <c r="F21" s="19" t="n">
        <f aca="false">F9+F10+F11+F12+F13</f>
        <v>401</v>
      </c>
      <c r="G21" s="20" t="n">
        <f aca="false">(D21-E21)/E21</f>
        <v>-0.0211066896106692</v>
      </c>
      <c r="H21" s="19" t="n">
        <f aca="false">F21-E21</f>
        <v>29.08</v>
      </c>
      <c r="I21" s="21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70"/>
    <col collapsed="false" customWidth="true" hidden="false" outlineLevel="0" max="10" min="10" style="0" width="8"/>
    <col collapsed="false" customWidth="true" hidden="false" outlineLevel="0" max="11" min="11" style="0" width="45"/>
    <col collapsed="false" customWidth="true" hidden="false" outlineLevel="0" max="12" min="12" style="0" width="12"/>
    <col collapsed="false" customWidth="true" hidden="false" outlineLevel="0" max="13" min="13" style="0" width="9"/>
  </cols>
  <sheetData>
    <row r="1" customFormat="false" ht="20.1" hidden="false" customHeight="false" outlineLevel="0" collapsed="false">
      <c r="A1" s="1" t="s">
        <v>48</v>
      </c>
    </row>
    <row r="2" customFormat="false" ht="17.15" hidden="false" customHeight="false" outlineLevel="0" collapsed="false">
      <c r="A2" s="2" t="s">
        <v>49</v>
      </c>
    </row>
    <row r="4" customFormat="false" ht="29.85" hidden="false" customHeight="false" outlineLevel="0" collapsed="false">
      <c r="A4" s="4" t="s">
        <v>50</v>
      </c>
      <c r="B4" s="3" t="s">
        <v>51</v>
      </c>
      <c r="C4" s="3" t="s">
        <v>52</v>
      </c>
      <c r="D4" s="3" t="s">
        <v>53</v>
      </c>
      <c r="E4" s="3" t="s">
        <v>54</v>
      </c>
      <c r="F4" s="3" t="s">
        <v>55</v>
      </c>
      <c r="G4" s="3" t="s">
        <v>56</v>
      </c>
      <c r="H4" s="3" t="s">
        <v>57</v>
      </c>
      <c r="I4" s="3" t="s">
        <v>58</v>
      </c>
      <c r="J4" s="3" t="s">
        <v>59</v>
      </c>
      <c r="K4" s="3" t="s">
        <v>60</v>
      </c>
      <c r="L4" s="3" t="s">
        <v>61</v>
      </c>
      <c r="M4" s="3" t="s">
        <v>62</v>
      </c>
    </row>
    <row r="5" customFormat="false" ht="60" hidden="false" customHeight="true" outlineLevel="0" collapsed="false">
      <c r="A5" s="22" t="n">
        <v>1</v>
      </c>
      <c r="B5" s="22" t="s">
        <v>63</v>
      </c>
      <c r="C5" s="23" t="s">
        <v>64</v>
      </c>
      <c r="D5" s="22" t="s">
        <v>65</v>
      </c>
      <c r="E5" s="24" t="n">
        <v>11160</v>
      </c>
      <c r="F5" s="24" t="n">
        <v>12000</v>
      </c>
      <c r="G5" s="25" t="n">
        <v>124.05</v>
      </c>
      <c r="H5" s="24" t="n">
        <v>38.14</v>
      </c>
      <c r="I5" s="22" t="s">
        <v>66</v>
      </c>
      <c r="J5" s="22" t="s">
        <v>67</v>
      </c>
      <c r="K5" s="23" t="s">
        <v>68</v>
      </c>
      <c r="L5" s="26" t="n">
        <v>135.11</v>
      </c>
      <c r="M5" s="27" t="n">
        <f aca="false">IFERROR((G5-L5)/L5,"")</f>
        <v>-0.0818592258160019</v>
      </c>
    </row>
    <row r="6" customFormat="false" ht="60" hidden="false" customHeight="true" outlineLevel="0" collapsed="false">
      <c r="A6" s="22" t="n">
        <v>2</v>
      </c>
      <c r="B6" s="22" t="s">
        <v>63</v>
      </c>
      <c r="C6" s="23" t="s">
        <v>69</v>
      </c>
      <c r="D6" s="22" t="s">
        <v>70</v>
      </c>
      <c r="E6" s="24" t="n">
        <v>6930</v>
      </c>
      <c r="F6" s="24" t="n">
        <v>4560</v>
      </c>
      <c r="G6" s="25" t="n">
        <v>35.43</v>
      </c>
      <c r="H6" s="24" t="n">
        <v>25.5</v>
      </c>
      <c r="I6" s="22" t="s">
        <v>71</v>
      </c>
      <c r="J6" s="22" t="s">
        <v>72</v>
      </c>
      <c r="K6" s="22" t="s">
        <v>73</v>
      </c>
      <c r="L6" s="26" t="n">
        <v>34.79</v>
      </c>
      <c r="M6" s="27" t="n">
        <f aca="false">IFERROR((G6-L6)/L6,"")</f>
        <v>0.0183960908306985</v>
      </c>
    </row>
    <row r="7" customFormat="false" ht="60" hidden="false" customHeight="true" outlineLevel="0" collapsed="false">
      <c r="A7" s="22" t="n">
        <v>3</v>
      </c>
      <c r="B7" s="22" t="s">
        <v>63</v>
      </c>
      <c r="C7" s="23" t="s">
        <v>74</v>
      </c>
      <c r="D7" s="22" t="s">
        <v>70</v>
      </c>
      <c r="E7" s="24" t="n">
        <v>4100</v>
      </c>
      <c r="F7" s="24" t="n">
        <v>2950</v>
      </c>
      <c r="G7" s="25" t="n">
        <v>12.09</v>
      </c>
      <c r="H7" s="24" t="n">
        <v>13.1</v>
      </c>
      <c r="I7" s="22" t="s">
        <v>75</v>
      </c>
      <c r="J7" s="22" t="s">
        <v>76</v>
      </c>
      <c r="K7" s="22" t="s">
        <v>77</v>
      </c>
      <c r="L7" s="26" t="n">
        <v>11.74</v>
      </c>
      <c r="M7" s="27" t="n">
        <f aca="false">IFERROR((G7-L7)/L7,"")</f>
        <v>0.0298126064735945</v>
      </c>
    </row>
    <row r="8" customFormat="false" ht="60" hidden="false" customHeight="true" outlineLevel="0" collapsed="false">
      <c r="A8" s="22" t="n">
        <v>4</v>
      </c>
      <c r="B8" s="22" t="s">
        <v>63</v>
      </c>
      <c r="C8" s="23" t="s">
        <v>78</v>
      </c>
      <c r="D8" s="22" t="s">
        <v>70</v>
      </c>
      <c r="E8" s="24" t="n">
        <v>2000</v>
      </c>
      <c r="F8" s="24" t="n">
        <v>2050</v>
      </c>
      <c r="G8" s="25" t="n">
        <v>4.1</v>
      </c>
      <c r="H8" s="24" t="n">
        <v>7.16</v>
      </c>
      <c r="I8" s="22" t="s">
        <v>79</v>
      </c>
      <c r="J8" s="22" t="s">
        <v>67</v>
      </c>
      <c r="K8" s="22" t="s">
        <v>77</v>
      </c>
      <c r="L8" s="28"/>
      <c r="M8" s="27"/>
    </row>
    <row r="9" customFormat="false" ht="60" hidden="false" customHeight="true" outlineLevel="0" collapsed="false">
      <c r="A9" s="22" t="n">
        <v>5</v>
      </c>
      <c r="B9" s="22" t="s">
        <v>63</v>
      </c>
      <c r="C9" s="23" t="s">
        <v>80</v>
      </c>
      <c r="D9" s="22" t="s">
        <v>70</v>
      </c>
      <c r="E9" s="24" t="n">
        <v>1700</v>
      </c>
      <c r="F9" s="24" t="n">
        <v>2850</v>
      </c>
      <c r="G9" s="25" t="n">
        <v>4.84</v>
      </c>
      <c r="H9" s="24" t="n">
        <v>8.1</v>
      </c>
      <c r="I9" s="22" t="s">
        <v>81</v>
      </c>
      <c r="J9" s="22" t="s">
        <v>72</v>
      </c>
      <c r="K9" s="22" t="s">
        <v>77</v>
      </c>
      <c r="L9" s="26" t="n">
        <v>5.17</v>
      </c>
      <c r="M9" s="27" t="n">
        <f aca="false">IFERROR((G9-L9)/L9,"")</f>
        <v>-0.0638297872340426</v>
      </c>
    </row>
    <row r="10" customFormat="false" ht="60" hidden="false" customHeight="true" outlineLevel="0" collapsed="false">
      <c r="A10" s="22" t="n">
        <v>6</v>
      </c>
      <c r="B10" s="22" t="s">
        <v>63</v>
      </c>
      <c r="C10" s="23" t="s">
        <v>82</v>
      </c>
      <c r="D10" s="22" t="s">
        <v>83</v>
      </c>
      <c r="E10" s="24" t="n">
        <v>2849</v>
      </c>
      <c r="F10" s="24" t="n">
        <v>2495</v>
      </c>
      <c r="G10" s="25" t="n">
        <v>7.11</v>
      </c>
      <c r="H10" s="24" t="n">
        <v>8.19</v>
      </c>
      <c r="I10" s="22" t="s">
        <v>84</v>
      </c>
      <c r="J10" s="22" t="s">
        <v>67</v>
      </c>
      <c r="K10" s="22" t="s">
        <v>77</v>
      </c>
      <c r="L10" s="28"/>
      <c r="M10" s="27"/>
    </row>
    <row r="11" customFormat="false" ht="60" hidden="false" customHeight="true" outlineLevel="0" collapsed="false">
      <c r="A11" s="22" t="n">
        <v>7</v>
      </c>
      <c r="B11" s="22" t="s">
        <v>63</v>
      </c>
      <c r="C11" s="23" t="s">
        <v>85</v>
      </c>
      <c r="D11" s="22" t="s">
        <v>83</v>
      </c>
      <c r="E11" s="24" t="n">
        <v>7845</v>
      </c>
      <c r="F11" s="24" t="n">
        <v>5450</v>
      </c>
      <c r="G11" s="25" t="n">
        <v>31.57</v>
      </c>
      <c r="H11" s="24" t="n">
        <v>22.22</v>
      </c>
      <c r="I11" s="22" t="s">
        <v>86</v>
      </c>
      <c r="J11" s="22" t="s">
        <v>67</v>
      </c>
      <c r="K11" s="22" t="s">
        <v>77</v>
      </c>
      <c r="L11" s="26" t="n">
        <v>32.9</v>
      </c>
      <c r="M11" s="27" t="n">
        <f aca="false">IFERROR((G11-L11)/L11,"")</f>
        <v>-0.0404255319148936</v>
      </c>
    </row>
    <row r="12" customFormat="false" ht="60" hidden="false" customHeight="true" outlineLevel="0" collapsed="false">
      <c r="A12" s="22" t="n">
        <v>8</v>
      </c>
      <c r="B12" s="22" t="s">
        <v>87</v>
      </c>
      <c r="C12" s="23" t="s">
        <v>88</v>
      </c>
      <c r="D12" s="22" t="s">
        <v>89</v>
      </c>
      <c r="E12" s="24" t="n">
        <v>2196</v>
      </c>
      <c r="F12" s="24" t="n">
        <v>4045</v>
      </c>
      <c r="G12" s="25" t="n">
        <v>8.55</v>
      </c>
      <c r="H12" s="24" t="n">
        <v>11.5</v>
      </c>
      <c r="I12" s="22" t="s">
        <v>90</v>
      </c>
      <c r="J12" s="22" t="s">
        <v>67</v>
      </c>
      <c r="K12" s="22" t="s">
        <v>91</v>
      </c>
      <c r="L12" s="26" t="n">
        <v>8.23</v>
      </c>
      <c r="M12" s="27" t="n">
        <f aca="false">IFERROR((G12-L12)/L12,"")</f>
        <v>0.0388821385176185</v>
      </c>
    </row>
    <row r="13" customFormat="false" ht="60" hidden="false" customHeight="true" outlineLevel="0" collapsed="false">
      <c r="A13" s="22" t="n">
        <v>9</v>
      </c>
      <c r="B13" s="22" t="s">
        <v>87</v>
      </c>
      <c r="C13" s="23" t="s">
        <v>92</v>
      </c>
      <c r="D13" s="22" t="s">
        <v>89</v>
      </c>
      <c r="E13" s="24" t="n">
        <v>3205</v>
      </c>
      <c r="F13" s="24" t="n">
        <v>3900</v>
      </c>
      <c r="G13" s="25" t="n">
        <v>12.29</v>
      </c>
      <c r="H13" s="24" t="n">
        <v>5.13</v>
      </c>
      <c r="I13" s="22" t="s">
        <v>93</v>
      </c>
      <c r="J13" s="22" t="s">
        <v>67</v>
      </c>
      <c r="K13" s="23" t="s">
        <v>94</v>
      </c>
      <c r="L13" s="26" t="n">
        <v>12.39</v>
      </c>
      <c r="M13" s="27" t="n">
        <f aca="false">IFERROR((G13-L13)/L13,"")</f>
        <v>-0.00807102502017768</v>
      </c>
    </row>
    <row r="14" customFormat="false" ht="60" hidden="false" customHeight="true" outlineLevel="0" collapsed="false">
      <c r="A14" s="22" t="n">
        <v>10</v>
      </c>
      <c r="B14" s="22" t="s">
        <v>87</v>
      </c>
      <c r="C14" s="23" t="s">
        <v>95</v>
      </c>
      <c r="D14" s="22" t="s">
        <v>89</v>
      </c>
      <c r="E14" s="24" t="n">
        <v>3203</v>
      </c>
      <c r="F14" s="24" t="n">
        <v>3900</v>
      </c>
      <c r="G14" s="25" t="n">
        <v>12.49</v>
      </c>
      <c r="H14" s="24" t="n">
        <v>0</v>
      </c>
      <c r="I14" s="22" t="s">
        <v>96</v>
      </c>
      <c r="J14" s="22" t="s">
        <v>67</v>
      </c>
      <c r="K14" s="23" t="s">
        <v>97</v>
      </c>
      <c r="L14" s="26" t="n">
        <v>13.15</v>
      </c>
      <c r="M14" s="27" t="n">
        <f aca="false">IFERROR((G14-L14)/L14,"")</f>
        <v>-0.0501901140684411</v>
      </c>
    </row>
    <row r="15" customFormat="false" ht="60" hidden="false" customHeight="true" outlineLevel="0" collapsed="false">
      <c r="A15" s="22" t="n">
        <v>11</v>
      </c>
      <c r="B15" s="22" t="s">
        <v>87</v>
      </c>
      <c r="C15" s="23" t="s">
        <v>98</v>
      </c>
      <c r="D15" s="22" t="s">
        <v>89</v>
      </c>
      <c r="E15" s="24" t="n">
        <v>3203</v>
      </c>
      <c r="F15" s="24" t="n">
        <v>3900</v>
      </c>
      <c r="G15" s="25" t="n">
        <v>12.28</v>
      </c>
      <c r="H15" s="24" t="n">
        <v>3.35</v>
      </c>
      <c r="I15" s="22" t="s">
        <v>99</v>
      </c>
      <c r="J15" s="22" t="s">
        <v>67</v>
      </c>
      <c r="K15" s="23" t="s">
        <v>100</v>
      </c>
      <c r="L15" s="26" t="n">
        <v>12.84</v>
      </c>
      <c r="M15" s="27" t="n">
        <f aca="false">IFERROR((G15-L15)/L15,"")</f>
        <v>-0.0436137071651091</v>
      </c>
    </row>
    <row r="16" customFormat="false" ht="60" hidden="false" customHeight="true" outlineLevel="0" collapsed="false">
      <c r="A16" s="22" t="n">
        <v>12</v>
      </c>
      <c r="B16" s="22" t="s">
        <v>87</v>
      </c>
      <c r="C16" s="23" t="s">
        <v>101</v>
      </c>
      <c r="D16" s="22" t="s">
        <v>70</v>
      </c>
      <c r="E16" s="24" t="n">
        <v>1673</v>
      </c>
      <c r="F16" s="24" t="n">
        <v>3290</v>
      </c>
      <c r="G16" s="25" t="n">
        <v>5.5</v>
      </c>
      <c r="H16" s="24" t="n">
        <v>8.95</v>
      </c>
      <c r="I16" s="22" t="s">
        <v>102</v>
      </c>
      <c r="J16" s="22" t="s">
        <v>67</v>
      </c>
      <c r="K16" s="22" t="s">
        <v>91</v>
      </c>
      <c r="L16" s="26" t="n">
        <v>4.87</v>
      </c>
      <c r="M16" s="27" t="n">
        <f aca="false">IFERROR((G16-L16)/L16,"")</f>
        <v>0.129363449691992</v>
      </c>
    </row>
    <row r="17" customFormat="false" ht="60" hidden="false" customHeight="true" outlineLevel="0" collapsed="false">
      <c r="A17" s="22" t="n">
        <v>13</v>
      </c>
      <c r="B17" s="22" t="s">
        <v>87</v>
      </c>
      <c r="C17" s="22" t="s">
        <v>103</v>
      </c>
      <c r="D17" s="22" t="s">
        <v>104</v>
      </c>
      <c r="E17" s="24" t="n">
        <v>1395</v>
      </c>
      <c r="F17" s="24" t="n">
        <v>4531</v>
      </c>
      <c r="G17" s="25" t="n">
        <v>6.32</v>
      </c>
      <c r="H17" s="24" t="n">
        <v>9.97</v>
      </c>
      <c r="I17" s="22" t="s">
        <v>105</v>
      </c>
      <c r="J17" s="22" t="s">
        <v>76</v>
      </c>
      <c r="K17" s="22" t="s">
        <v>91</v>
      </c>
      <c r="L17" s="28"/>
      <c r="M17" s="27"/>
    </row>
    <row r="18" customFormat="false" ht="60" hidden="false" customHeight="true" outlineLevel="0" collapsed="false">
      <c r="A18" s="22" t="n">
        <v>14</v>
      </c>
      <c r="B18" s="22" t="s">
        <v>87</v>
      </c>
      <c r="C18" s="22" t="s">
        <v>106</v>
      </c>
      <c r="D18" s="22" t="s">
        <v>104</v>
      </c>
      <c r="E18" s="24" t="n">
        <v>1600</v>
      </c>
      <c r="F18" s="24" t="n">
        <v>9753</v>
      </c>
      <c r="G18" s="25" t="n">
        <v>17.47</v>
      </c>
      <c r="H18" s="24" t="n">
        <v>14.75</v>
      </c>
      <c r="I18" s="22" t="s">
        <v>107</v>
      </c>
      <c r="J18" s="22" t="s">
        <v>72</v>
      </c>
      <c r="K18" s="22" t="s">
        <v>91</v>
      </c>
      <c r="L18" s="28"/>
      <c r="M18" s="27"/>
    </row>
    <row r="19" customFormat="false" ht="60" hidden="false" customHeight="true" outlineLevel="0" collapsed="false">
      <c r="A19" s="22" t="n">
        <v>15</v>
      </c>
      <c r="B19" s="22" t="s">
        <v>87</v>
      </c>
      <c r="C19" s="22" t="s">
        <v>108</v>
      </c>
      <c r="D19" s="22" t="s">
        <v>104</v>
      </c>
      <c r="E19" s="24" t="n">
        <v>12410</v>
      </c>
      <c r="F19" s="24" t="n">
        <v>2000</v>
      </c>
      <c r="G19" s="25" t="n">
        <v>24.82</v>
      </c>
      <c r="H19" s="24" t="n">
        <v>11.2</v>
      </c>
      <c r="I19" s="22" t="s">
        <v>109</v>
      </c>
      <c r="J19" s="22" t="s">
        <v>72</v>
      </c>
      <c r="K19" s="23" t="s">
        <v>110</v>
      </c>
      <c r="L19" s="28"/>
      <c r="M19" s="27"/>
    </row>
    <row r="20" customFormat="false" ht="60" hidden="false" customHeight="true" outlineLevel="0" collapsed="false">
      <c r="A20" s="22" t="n">
        <v>16</v>
      </c>
      <c r="B20" s="22" t="s">
        <v>87</v>
      </c>
      <c r="C20" s="22" t="s">
        <v>111</v>
      </c>
      <c r="D20" s="22" t="s">
        <v>104</v>
      </c>
      <c r="E20" s="24" t="n">
        <v>1600</v>
      </c>
      <c r="F20" s="24" t="n">
        <v>7400</v>
      </c>
      <c r="G20" s="25" t="n">
        <v>11.84</v>
      </c>
      <c r="H20" s="24" t="n">
        <v>6.5</v>
      </c>
      <c r="I20" s="22" t="s">
        <v>112</v>
      </c>
      <c r="J20" s="22" t="s">
        <v>72</v>
      </c>
      <c r="K20" s="23" t="s">
        <v>113</v>
      </c>
      <c r="L20" s="28"/>
      <c r="M20" s="27"/>
    </row>
    <row r="21" customFormat="false" ht="60" hidden="false" customHeight="true" outlineLevel="0" collapsed="false">
      <c r="A21" s="22" t="n">
        <v>17</v>
      </c>
      <c r="B21" s="22" t="s">
        <v>87</v>
      </c>
      <c r="C21" s="22" t="s">
        <v>114</v>
      </c>
      <c r="D21" s="22" t="s">
        <v>104</v>
      </c>
      <c r="E21" s="24"/>
      <c r="F21" s="24"/>
      <c r="G21" s="25" t="n">
        <v>27.71</v>
      </c>
      <c r="H21" s="24" t="n">
        <v>20.3</v>
      </c>
      <c r="I21" s="22" t="s">
        <v>115</v>
      </c>
      <c r="J21" s="22" t="s">
        <v>72</v>
      </c>
      <c r="K21" s="22" t="s">
        <v>116</v>
      </c>
      <c r="L21" s="28"/>
      <c r="M21" s="27"/>
    </row>
    <row r="22" customFormat="false" ht="60" hidden="false" customHeight="true" outlineLevel="0" collapsed="false">
      <c r="A22" s="22" t="n">
        <v>18</v>
      </c>
      <c r="B22" s="22" t="s">
        <v>87</v>
      </c>
      <c r="C22" s="23" t="s">
        <v>117</v>
      </c>
      <c r="D22" s="22" t="s">
        <v>104</v>
      </c>
      <c r="E22" s="24" t="n">
        <v>3490</v>
      </c>
      <c r="F22" s="24" t="n">
        <v>7170</v>
      </c>
      <c r="G22" s="25" t="n">
        <v>25.02</v>
      </c>
      <c r="H22" s="24" t="n">
        <v>6.98</v>
      </c>
      <c r="I22" s="22" t="s">
        <v>118</v>
      </c>
      <c r="J22" s="22" t="s">
        <v>67</v>
      </c>
      <c r="K22" s="22" t="s">
        <v>91</v>
      </c>
      <c r="L22" s="26" t="n">
        <v>25.7</v>
      </c>
      <c r="M22" s="27" t="n">
        <f aca="false">IFERROR((G22-L22)/L22,"")</f>
        <v>-0.0264591439688716</v>
      </c>
    </row>
    <row r="23" customFormat="false" ht="60" hidden="false" customHeight="true" outlineLevel="0" collapsed="false">
      <c r="A23" s="22" t="n">
        <v>19</v>
      </c>
      <c r="B23" s="22" t="s">
        <v>87</v>
      </c>
      <c r="C23" s="22" t="s">
        <v>119</v>
      </c>
      <c r="D23" s="22" t="s">
        <v>120</v>
      </c>
      <c r="E23" s="24" t="n">
        <v>7200</v>
      </c>
      <c r="F23" s="24" t="n">
        <v>19150</v>
      </c>
      <c r="G23" s="25" t="n">
        <v>162.93</v>
      </c>
      <c r="H23" s="24" t="n">
        <v>37.1</v>
      </c>
      <c r="I23" s="22" t="s">
        <v>121</v>
      </c>
      <c r="J23" s="22" t="s">
        <v>67</v>
      </c>
      <c r="K23" s="23" t="s">
        <v>122</v>
      </c>
      <c r="L23" s="28"/>
      <c r="M23" s="27"/>
    </row>
    <row r="24" customFormat="false" ht="60" hidden="false" customHeight="true" outlineLevel="0" collapsed="false">
      <c r="A24" s="22" t="n">
        <v>20</v>
      </c>
      <c r="B24" s="22" t="s">
        <v>87</v>
      </c>
      <c r="C24" s="22" t="s">
        <v>123</v>
      </c>
      <c r="D24" s="22" t="s">
        <v>120</v>
      </c>
      <c r="E24" s="24" t="n">
        <v>7178</v>
      </c>
      <c r="F24" s="24" t="n">
        <v>19150</v>
      </c>
      <c r="G24" s="25" t="n">
        <v>142.55</v>
      </c>
      <c r="H24" s="24" t="n">
        <v>30</v>
      </c>
      <c r="I24" s="22" t="s">
        <v>124</v>
      </c>
      <c r="J24" s="22" t="s">
        <v>67</v>
      </c>
      <c r="K24" s="23" t="s">
        <v>125</v>
      </c>
      <c r="L24" s="28"/>
      <c r="M24" s="27"/>
    </row>
    <row r="25" customFormat="false" ht="60" hidden="false" customHeight="true" outlineLevel="0" collapsed="false">
      <c r="A25" s="22" t="n">
        <v>21</v>
      </c>
      <c r="B25" s="22" t="s">
        <v>126</v>
      </c>
      <c r="C25" s="23" t="s">
        <v>127</v>
      </c>
      <c r="D25" s="22" t="s">
        <v>65</v>
      </c>
      <c r="E25" s="24" t="n">
        <v>5250</v>
      </c>
      <c r="F25" s="24" t="n">
        <v>4890</v>
      </c>
      <c r="G25" s="25" t="n">
        <v>30.16</v>
      </c>
      <c r="H25" s="24" t="n">
        <v>17.6</v>
      </c>
      <c r="I25" s="22" t="s">
        <v>128</v>
      </c>
      <c r="J25" s="22" t="s">
        <v>67</v>
      </c>
      <c r="K25" s="23" t="s">
        <v>129</v>
      </c>
      <c r="L25" s="26" t="n">
        <v>29.07</v>
      </c>
      <c r="M25" s="27" t="n">
        <f aca="false">IFERROR((G25-L25)/L25,"")</f>
        <v>0.0374957000343997</v>
      </c>
    </row>
    <row r="26" customFormat="false" ht="60" hidden="false" customHeight="true" outlineLevel="0" collapsed="false">
      <c r="A26" s="22" t="n">
        <v>22</v>
      </c>
      <c r="B26" s="22" t="s">
        <v>126</v>
      </c>
      <c r="C26" s="23" t="s">
        <v>130</v>
      </c>
      <c r="D26" s="22" t="s">
        <v>65</v>
      </c>
      <c r="E26" s="24" t="n">
        <v>5600</v>
      </c>
      <c r="F26" s="24" t="n">
        <v>3660</v>
      </c>
      <c r="G26" s="25" t="n">
        <v>20.5</v>
      </c>
      <c r="H26" s="24" t="n">
        <v>13.5</v>
      </c>
      <c r="I26" s="22" t="s">
        <v>131</v>
      </c>
      <c r="J26" s="22" t="s">
        <v>72</v>
      </c>
      <c r="K26" s="22" t="s">
        <v>91</v>
      </c>
      <c r="L26" s="26" t="n">
        <v>19.55</v>
      </c>
      <c r="M26" s="27" t="n">
        <f aca="false">IFERROR((G26-L26)/L26,"")</f>
        <v>0.0485933503836317</v>
      </c>
    </row>
    <row r="27" customFormat="false" ht="60" hidden="false" customHeight="true" outlineLevel="0" collapsed="false">
      <c r="A27" s="22" t="n">
        <v>23</v>
      </c>
      <c r="B27" s="22" t="s">
        <v>126</v>
      </c>
      <c r="C27" s="23" t="s">
        <v>132</v>
      </c>
      <c r="D27" s="22" t="s">
        <v>65</v>
      </c>
      <c r="E27" s="24" t="n">
        <v>3384</v>
      </c>
      <c r="F27" s="24" t="n">
        <v>4445</v>
      </c>
      <c r="G27" s="25" t="n">
        <v>14.83</v>
      </c>
      <c r="H27" s="24" t="n">
        <v>9.6</v>
      </c>
      <c r="I27" s="22" t="s">
        <v>133</v>
      </c>
      <c r="J27" s="22" t="s">
        <v>67</v>
      </c>
      <c r="K27" s="23" t="s">
        <v>134</v>
      </c>
      <c r="L27" s="26" t="n">
        <v>16.18</v>
      </c>
      <c r="M27" s="27" t="n">
        <f aca="false">IFERROR((G27-L27)/L27,"")</f>
        <v>-0.0834363411619283</v>
      </c>
    </row>
    <row r="28" customFormat="false" ht="60" hidden="false" customHeight="true" outlineLevel="0" collapsed="false">
      <c r="A28" s="22" t="n">
        <v>24</v>
      </c>
      <c r="B28" s="22" t="s">
        <v>126</v>
      </c>
      <c r="C28" s="23" t="s">
        <v>135</v>
      </c>
      <c r="D28" s="22" t="s">
        <v>89</v>
      </c>
      <c r="E28" s="24" t="n">
        <v>3198</v>
      </c>
      <c r="F28" s="24" t="n">
        <v>4445</v>
      </c>
      <c r="G28" s="25" t="n">
        <v>14.22</v>
      </c>
      <c r="H28" s="24" t="n">
        <v>3.9</v>
      </c>
      <c r="I28" s="22" t="s">
        <v>136</v>
      </c>
      <c r="J28" s="22" t="s">
        <v>67</v>
      </c>
      <c r="K28" s="23" t="s">
        <v>137</v>
      </c>
      <c r="L28" s="26" t="n">
        <v>13.98</v>
      </c>
      <c r="M28" s="27" t="n">
        <f aca="false">IFERROR((G28-L28)/L28,"")</f>
        <v>0.0171673819742489</v>
      </c>
    </row>
    <row r="29" customFormat="false" ht="60" hidden="false" customHeight="true" outlineLevel="0" collapsed="false">
      <c r="A29" s="22" t="n">
        <v>25</v>
      </c>
      <c r="B29" s="22" t="s">
        <v>126</v>
      </c>
      <c r="C29" s="23" t="s">
        <v>138</v>
      </c>
      <c r="D29" s="22" t="s">
        <v>89</v>
      </c>
      <c r="E29" s="24" t="n">
        <v>3198</v>
      </c>
      <c r="F29" s="24" t="n">
        <v>4445</v>
      </c>
      <c r="G29" s="25" t="n">
        <v>14.01</v>
      </c>
      <c r="H29" s="24" t="n">
        <v>0</v>
      </c>
      <c r="I29" s="22" t="s">
        <v>139</v>
      </c>
      <c r="J29" s="22" t="s">
        <v>67</v>
      </c>
      <c r="K29" s="23" t="s">
        <v>140</v>
      </c>
      <c r="L29" s="26" t="n">
        <v>13.84</v>
      </c>
      <c r="M29" s="27" t="n">
        <f aca="false">IFERROR((G29-L29)/L29,"")</f>
        <v>0.0122832369942196</v>
      </c>
    </row>
    <row r="30" customFormat="false" ht="60" hidden="false" customHeight="true" outlineLevel="0" collapsed="false">
      <c r="A30" s="22" t="n">
        <v>26</v>
      </c>
      <c r="B30" s="22" t="s">
        <v>126</v>
      </c>
      <c r="C30" s="23" t="s">
        <v>141</v>
      </c>
      <c r="D30" s="22" t="s">
        <v>89</v>
      </c>
      <c r="E30" s="24" t="n">
        <v>5098</v>
      </c>
      <c r="F30" s="24" t="n">
        <v>4445</v>
      </c>
      <c r="G30" s="25" t="n">
        <v>22.66</v>
      </c>
      <c r="H30" s="24" t="n">
        <v>3.9</v>
      </c>
      <c r="I30" s="22" t="s">
        <v>142</v>
      </c>
      <c r="J30" s="22" t="s">
        <v>67</v>
      </c>
      <c r="K30" s="23" t="s">
        <v>143</v>
      </c>
      <c r="L30" s="26" t="n">
        <v>22.85</v>
      </c>
      <c r="M30" s="27" t="n">
        <f aca="false">IFERROR((G30-L30)/L30,"")</f>
        <v>-0.00831509846827139</v>
      </c>
    </row>
    <row r="31" customFormat="false" ht="60" hidden="false" customHeight="true" outlineLevel="0" collapsed="false">
      <c r="A31" s="22" t="n">
        <v>27</v>
      </c>
      <c r="B31" s="22" t="s">
        <v>126</v>
      </c>
      <c r="C31" s="23" t="s">
        <v>144</v>
      </c>
      <c r="D31" s="22" t="s">
        <v>145</v>
      </c>
      <c r="E31" s="24" t="n">
        <v>5145</v>
      </c>
      <c r="F31" s="24" t="n">
        <v>6900</v>
      </c>
      <c r="G31" s="25" t="n">
        <v>42.05</v>
      </c>
      <c r="H31" s="24" t="n">
        <v>15.3</v>
      </c>
      <c r="I31" s="22" t="s">
        <v>146</v>
      </c>
      <c r="J31" s="22" t="s">
        <v>67</v>
      </c>
      <c r="K31" s="23" t="s">
        <v>147</v>
      </c>
      <c r="L31" s="26" t="n">
        <v>39.55</v>
      </c>
      <c r="M31" s="27" t="n">
        <f aca="false">IFERROR((G31-L31)/L31,"")</f>
        <v>0.0632111251580278</v>
      </c>
    </row>
    <row r="32" customFormat="false" ht="60" hidden="false" customHeight="true" outlineLevel="0" collapsed="false">
      <c r="A32" s="22" t="n">
        <v>28</v>
      </c>
      <c r="B32" s="22" t="s">
        <v>126</v>
      </c>
      <c r="C32" s="23" t="s">
        <v>148</v>
      </c>
      <c r="D32" s="22" t="s">
        <v>145</v>
      </c>
      <c r="E32" s="24" t="n">
        <v>5145</v>
      </c>
      <c r="F32" s="24" t="n">
        <v>4700</v>
      </c>
      <c r="G32" s="25" t="n">
        <v>35.98</v>
      </c>
      <c r="H32" s="24" t="n">
        <v>15.3</v>
      </c>
      <c r="I32" s="22" t="s">
        <v>149</v>
      </c>
      <c r="J32" s="22" t="s">
        <v>67</v>
      </c>
      <c r="K32" s="23" t="s">
        <v>150</v>
      </c>
      <c r="L32" s="26" t="n">
        <v>35.18</v>
      </c>
      <c r="M32" s="27" t="n">
        <f aca="false">IFERROR((G32-L32)/L32,"")</f>
        <v>0.0227401932916429</v>
      </c>
    </row>
    <row r="33" customFormat="false" ht="60" hidden="false" customHeight="true" outlineLevel="0" collapsed="false">
      <c r="A33" s="22" t="n">
        <v>29</v>
      </c>
      <c r="B33" s="22" t="s">
        <v>126</v>
      </c>
      <c r="C33" s="23" t="s">
        <v>80</v>
      </c>
      <c r="D33" s="22" t="s">
        <v>70</v>
      </c>
      <c r="E33" s="24" t="n">
        <v>2180</v>
      </c>
      <c r="F33" s="24" t="n">
        <v>4230</v>
      </c>
      <c r="G33" s="25" t="n">
        <v>9.05</v>
      </c>
      <c r="H33" s="24" t="n">
        <v>11.84</v>
      </c>
      <c r="I33" s="22" t="s">
        <v>151</v>
      </c>
      <c r="J33" s="22" t="s">
        <v>67</v>
      </c>
      <c r="K33" s="22" t="s">
        <v>91</v>
      </c>
      <c r="L33" s="28"/>
      <c r="M33" s="27"/>
    </row>
    <row r="34" customFormat="false" ht="60" hidden="false" customHeight="true" outlineLevel="0" collapsed="false">
      <c r="A34" s="22" t="n">
        <v>30</v>
      </c>
      <c r="B34" s="22" t="s">
        <v>126</v>
      </c>
      <c r="C34" s="23" t="s">
        <v>152</v>
      </c>
      <c r="D34" s="22" t="s">
        <v>83</v>
      </c>
      <c r="E34" s="24" t="n">
        <v>4440</v>
      </c>
      <c r="F34" s="24" t="n">
        <v>2295</v>
      </c>
      <c r="G34" s="25" t="n">
        <v>10.19</v>
      </c>
      <c r="H34" s="24" t="n">
        <v>10.8</v>
      </c>
      <c r="I34" s="22" t="s">
        <v>153</v>
      </c>
      <c r="J34" s="22" t="s">
        <v>67</v>
      </c>
      <c r="K34" s="22" t="s">
        <v>91</v>
      </c>
      <c r="L34" s="28"/>
      <c r="M34" s="27"/>
    </row>
    <row r="35" customFormat="false" ht="60" hidden="false" customHeight="true" outlineLevel="0" collapsed="false">
      <c r="A35" s="22" t="n">
        <v>31</v>
      </c>
      <c r="B35" s="22" t="s">
        <v>126</v>
      </c>
      <c r="C35" s="22" t="s">
        <v>154</v>
      </c>
      <c r="D35" s="22" t="s">
        <v>104</v>
      </c>
      <c r="E35" s="24" t="n">
        <v>5740</v>
      </c>
      <c r="F35" s="24" t="n">
        <v>9250</v>
      </c>
      <c r="G35" s="25" t="n">
        <v>53.09</v>
      </c>
      <c r="H35" s="24" t="n">
        <v>16</v>
      </c>
      <c r="I35" s="22" t="s">
        <v>155</v>
      </c>
      <c r="J35" s="22" t="s">
        <v>72</v>
      </c>
      <c r="K35" s="22" t="s">
        <v>91</v>
      </c>
      <c r="L35" s="28"/>
      <c r="M35" s="27"/>
    </row>
    <row r="36" customFormat="false" ht="60" hidden="false" customHeight="true" outlineLevel="0" collapsed="false">
      <c r="A36" s="22" t="n">
        <v>32</v>
      </c>
      <c r="B36" s="22" t="s">
        <v>126</v>
      </c>
      <c r="C36" s="22" t="s">
        <v>108</v>
      </c>
      <c r="D36" s="22" t="s">
        <v>104</v>
      </c>
      <c r="E36" s="24" t="n">
        <v>17080</v>
      </c>
      <c r="F36" s="24" t="n">
        <v>2000</v>
      </c>
      <c r="G36" s="25" t="n">
        <v>34.16</v>
      </c>
      <c r="H36" s="24" t="n">
        <v>10.2</v>
      </c>
      <c r="I36" s="22" t="s">
        <v>156</v>
      </c>
      <c r="J36" s="22" t="s">
        <v>72</v>
      </c>
      <c r="K36" s="22" t="s">
        <v>91</v>
      </c>
      <c r="L36" s="28"/>
      <c r="M36" s="27"/>
    </row>
    <row r="37" customFormat="false" ht="60" hidden="false" customHeight="true" outlineLevel="0" collapsed="false">
      <c r="A37" s="22" t="n">
        <v>33</v>
      </c>
      <c r="B37" s="22" t="s">
        <v>126</v>
      </c>
      <c r="C37" s="22" t="s">
        <v>157</v>
      </c>
      <c r="D37" s="22" t="s">
        <v>104</v>
      </c>
      <c r="E37" s="24" t="n">
        <v>2000</v>
      </c>
      <c r="F37" s="24" t="n">
        <v>7230</v>
      </c>
      <c r="G37" s="25" t="n">
        <v>14.46</v>
      </c>
      <c r="H37" s="24" t="n">
        <v>8.9</v>
      </c>
      <c r="I37" s="22" t="s">
        <v>158</v>
      </c>
      <c r="J37" s="22" t="s">
        <v>67</v>
      </c>
      <c r="K37" s="22" t="s">
        <v>91</v>
      </c>
      <c r="L37" s="28"/>
      <c r="M37" s="27"/>
    </row>
    <row r="38" customFormat="false" ht="60" hidden="false" customHeight="true" outlineLevel="0" collapsed="false">
      <c r="A38" s="22" t="n">
        <v>34</v>
      </c>
      <c r="B38" s="22" t="s">
        <v>126</v>
      </c>
      <c r="C38" s="22" t="s">
        <v>159</v>
      </c>
      <c r="D38" s="22" t="s">
        <v>104</v>
      </c>
      <c r="E38" s="24" t="n">
        <v>3680</v>
      </c>
      <c r="F38" s="24" t="n">
        <v>1815</v>
      </c>
      <c r="G38" s="25" t="n">
        <v>6.68</v>
      </c>
      <c r="H38" s="24" t="n">
        <v>3</v>
      </c>
      <c r="I38" s="22" t="s">
        <v>160</v>
      </c>
      <c r="J38" s="22" t="s">
        <v>67</v>
      </c>
      <c r="K38" s="22" t="s">
        <v>91</v>
      </c>
      <c r="L38" s="28"/>
      <c r="M38" s="27"/>
    </row>
    <row r="39" customFormat="false" ht="60" hidden="false" customHeight="true" outlineLevel="0" collapsed="false">
      <c r="A39" s="22" t="n">
        <v>35</v>
      </c>
      <c r="B39" s="22" t="s">
        <v>126</v>
      </c>
      <c r="C39" s="22" t="s">
        <v>161</v>
      </c>
      <c r="D39" s="22" t="s">
        <v>104</v>
      </c>
      <c r="E39" s="24"/>
      <c r="F39" s="24"/>
      <c r="G39" s="25" t="n">
        <v>16.36</v>
      </c>
      <c r="H39" s="24" t="n">
        <v>13.7</v>
      </c>
      <c r="I39" s="22" t="s">
        <v>162</v>
      </c>
      <c r="J39" s="22" t="s">
        <v>72</v>
      </c>
      <c r="K39" s="22" t="s">
        <v>91</v>
      </c>
      <c r="L39" s="28"/>
      <c r="M39" s="27"/>
    </row>
    <row r="40" customFormat="false" ht="60" hidden="false" customHeight="true" outlineLevel="0" collapsed="false">
      <c r="A40" s="22" t="n">
        <v>36</v>
      </c>
      <c r="B40" s="22" t="s">
        <v>126</v>
      </c>
      <c r="C40" s="22" t="s">
        <v>163</v>
      </c>
      <c r="D40" s="22" t="s">
        <v>120</v>
      </c>
      <c r="E40" s="24"/>
      <c r="F40" s="24"/>
      <c r="G40" s="25" t="n">
        <v>129.05</v>
      </c>
      <c r="H40" s="24" t="n">
        <v>18.3</v>
      </c>
      <c r="I40" s="22" t="s">
        <v>164</v>
      </c>
      <c r="J40" s="22" t="s">
        <v>72</v>
      </c>
      <c r="K40" s="23" t="s">
        <v>165</v>
      </c>
      <c r="L40" s="28"/>
      <c r="M40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60"/>
    <col collapsed="false" customWidth="true" hidden="false" outlineLevel="0" max="4" min="4" style="0" width="18"/>
    <col collapsed="false" customWidth="true" hidden="false" outlineLevel="0" max="5" min="5" style="0" width="50"/>
  </cols>
  <sheetData>
    <row r="1" customFormat="false" ht="20.1" hidden="false" customHeight="false" outlineLevel="0" collapsed="false">
      <c r="A1" s="1" t="s">
        <v>166</v>
      </c>
    </row>
    <row r="3" customFormat="false" ht="17.15" hidden="false" customHeight="false" outlineLevel="0" collapsed="false">
      <c r="A3" s="4" t="s">
        <v>167</v>
      </c>
      <c r="B3" s="3" t="s">
        <v>168</v>
      </c>
      <c r="C3" s="3" t="s">
        <v>169</v>
      </c>
      <c r="D3" s="3" t="s">
        <v>170</v>
      </c>
      <c r="E3" s="3" t="s">
        <v>171</v>
      </c>
    </row>
    <row r="4" customFormat="false" ht="45" hidden="false" customHeight="true" outlineLevel="0" collapsed="false">
      <c r="A4" s="22" t="n">
        <v>1</v>
      </c>
      <c r="B4" s="23" t="s">
        <v>172</v>
      </c>
      <c r="C4" s="23" t="s">
        <v>173</v>
      </c>
      <c r="D4" s="22" t="s">
        <v>174</v>
      </c>
      <c r="E4" s="22" t="s">
        <v>175</v>
      </c>
    </row>
    <row r="5" customFormat="false" ht="45" hidden="false" customHeight="true" outlineLevel="0" collapsed="false">
      <c r="A5" s="22" t="n">
        <v>2</v>
      </c>
      <c r="B5" s="23" t="s">
        <v>176</v>
      </c>
      <c r="C5" s="23" t="s">
        <v>177</v>
      </c>
      <c r="D5" s="23" t="s">
        <v>178</v>
      </c>
      <c r="E5" s="23" t="s">
        <v>179</v>
      </c>
    </row>
    <row r="6" customFormat="false" ht="45" hidden="false" customHeight="true" outlineLevel="0" collapsed="false">
      <c r="A6" s="22" t="n">
        <v>3</v>
      </c>
      <c r="B6" s="23" t="s">
        <v>180</v>
      </c>
      <c r="C6" s="23" t="s">
        <v>181</v>
      </c>
      <c r="D6" s="22" t="s">
        <v>182</v>
      </c>
      <c r="E6" s="23" t="s">
        <v>183</v>
      </c>
    </row>
    <row r="7" customFormat="false" ht="45" hidden="false" customHeight="true" outlineLevel="0" collapsed="false">
      <c r="A7" s="22" t="n">
        <v>4</v>
      </c>
      <c r="B7" s="23" t="s">
        <v>184</v>
      </c>
      <c r="C7" s="22" t="s">
        <v>185</v>
      </c>
      <c r="D7" s="23" t="s">
        <v>186</v>
      </c>
      <c r="E7" s="23" t="s">
        <v>187</v>
      </c>
    </row>
    <row r="8" customFormat="false" ht="45" hidden="false" customHeight="true" outlineLevel="0" collapsed="false">
      <c r="A8" s="22" t="n">
        <v>5</v>
      </c>
      <c r="B8" s="23" t="s">
        <v>188</v>
      </c>
      <c r="C8" s="22" t="s">
        <v>189</v>
      </c>
      <c r="D8" s="22" t="s">
        <v>190</v>
      </c>
      <c r="E8" s="23" t="s">
        <v>191</v>
      </c>
    </row>
    <row r="9" customFormat="false" ht="45" hidden="false" customHeight="true" outlineLevel="0" collapsed="false">
      <c r="A9" s="22" t="n">
        <v>6</v>
      </c>
      <c r="B9" s="23" t="s">
        <v>192</v>
      </c>
      <c r="C9" s="23" t="s">
        <v>193</v>
      </c>
      <c r="D9" s="23" t="s">
        <v>194</v>
      </c>
      <c r="E9" s="23" t="s">
        <v>195</v>
      </c>
    </row>
    <row r="10" customFormat="false" ht="45" hidden="false" customHeight="true" outlineLevel="0" collapsed="false">
      <c r="A10" s="22" t="n">
        <v>7</v>
      </c>
      <c r="B10" s="23" t="s">
        <v>196</v>
      </c>
      <c r="C10" s="23" t="s">
        <v>197</v>
      </c>
      <c r="D10" s="23" t="s">
        <v>194</v>
      </c>
      <c r="E10" s="23" t="s">
        <v>195</v>
      </c>
    </row>
    <row r="11" customFormat="false" ht="45" hidden="false" customHeight="true" outlineLevel="0" collapsed="false">
      <c r="A11" s="22" t="n">
        <v>8</v>
      </c>
      <c r="B11" s="23" t="s">
        <v>198</v>
      </c>
      <c r="C11" s="23" t="s">
        <v>199</v>
      </c>
      <c r="D11" s="23" t="s">
        <v>200</v>
      </c>
      <c r="E11" s="23" t="s">
        <v>201</v>
      </c>
    </row>
    <row r="12" customFormat="false" ht="45" hidden="false" customHeight="true" outlineLevel="0" collapsed="false">
      <c r="A12" s="22" t="n">
        <v>9</v>
      </c>
      <c r="B12" s="23" t="s">
        <v>202</v>
      </c>
      <c r="C12" s="22" t="s">
        <v>203</v>
      </c>
      <c r="D12" s="22" t="s">
        <v>204</v>
      </c>
      <c r="E12" s="23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6" min="5" style="0" width="18"/>
  </cols>
  <sheetData>
    <row r="1" customFormat="false" ht="20.1" hidden="false" customHeight="false" outlineLevel="0" collapsed="false">
      <c r="A1" s="1" t="s">
        <v>206</v>
      </c>
    </row>
    <row r="3" customFormat="false" ht="17.15" hidden="false" customHeight="false" outlineLevel="0" collapsed="false">
      <c r="A3" s="3" t="s">
        <v>207</v>
      </c>
      <c r="B3" s="3" t="s">
        <v>208</v>
      </c>
      <c r="C3" s="3" t="s">
        <v>209</v>
      </c>
      <c r="D3" s="4" t="s">
        <v>210</v>
      </c>
      <c r="E3" s="3" t="s">
        <v>211</v>
      </c>
      <c r="F3" s="3" t="s">
        <v>212</v>
      </c>
    </row>
    <row r="4" customFormat="false" ht="32.8" hidden="false" customHeight="false" outlineLevel="0" collapsed="false">
      <c r="A4" s="22" t="s">
        <v>213</v>
      </c>
      <c r="B4" s="23" t="s">
        <v>214</v>
      </c>
      <c r="C4" s="29" t="s">
        <v>215</v>
      </c>
      <c r="D4" s="22" t="s">
        <v>216</v>
      </c>
      <c r="E4" s="29" t="n">
        <v>0</v>
      </c>
      <c r="F4" s="29" t="n">
        <v>-0.026</v>
      </c>
    </row>
    <row r="5" customFormat="false" ht="17.15" hidden="false" customHeight="false" outlineLevel="0" collapsed="false">
      <c r="A5" s="22" t="s">
        <v>217</v>
      </c>
      <c r="B5" s="23" t="s">
        <v>218</v>
      </c>
      <c r="C5" s="29" t="n">
        <v>0.163</v>
      </c>
      <c r="D5" s="22" t="s">
        <v>219</v>
      </c>
      <c r="E5" s="29" t="n">
        <v>0.343</v>
      </c>
      <c r="F5" s="29" t="n">
        <v>-0.154</v>
      </c>
    </row>
    <row r="6" customFormat="false" ht="32.8" hidden="false" customHeight="false" outlineLevel="0" collapsed="false">
      <c r="A6" s="22" t="s">
        <v>220</v>
      </c>
      <c r="B6" s="23" t="s">
        <v>221</v>
      </c>
      <c r="C6" s="29" t="n">
        <v>0.143</v>
      </c>
      <c r="D6" s="22" t="s">
        <v>222</v>
      </c>
      <c r="E6" s="29" t="n">
        <v>0.503</v>
      </c>
      <c r="F6" s="29" t="n">
        <v>-0.057</v>
      </c>
    </row>
    <row r="7" customFormat="false" ht="32.8" hidden="false" customHeight="false" outlineLevel="0" collapsed="false">
      <c r="A7" s="22" t="s">
        <v>223</v>
      </c>
      <c r="B7" s="23" t="s">
        <v>224</v>
      </c>
      <c r="C7" s="29" t="n">
        <v>0.088</v>
      </c>
      <c r="D7" s="22" t="s">
        <v>225</v>
      </c>
      <c r="E7" s="29" t="n">
        <v>0.64</v>
      </c>
      <c r="F7" s="29" t="n">
        <v>-0.046</v>
      </c>
    </row>
    <row r="8" customFormat="false" ht="17.15" hidden="false" customHeight="false" outlineLevel="0" collapsed="false">
      <c r="A8" s="22" t="s">
        <v>226</v>
      </c>
      <c r="B8" s="23" t="s">
        <v>227</v>
      </c>
      <c r="C8" s="29" t="n">
        <v>0.088</v>
      </c>
      <c r="D8" s="22" t="s">
        <v>225</v>
      </c>
      <c r="E8" s="29" t="n">
        <v>0.668</v>
      </c>
      <c r="F8" s="29" t="n">
        <v>-0.085</v>
      </c>
    </row>
    <row r="9" customFormat="false" ht="17.15" hidden="false" customHeight="false" outlineLevel="0" collapsed="false">
      <c r="A9" s="22" t="s">
        <v>228</v>
      </c>
      <c r="B9" s="23" t="s">
        <v>229</v>
      </c>
      <c r="C9" s="29" t="n">
        <v>0.043</v>
      </c>
      <c r="D9" s="22" t="s">
        <v>230</v>
      </c>
      <c r="E9" s="29" t="n">
        <v>0.675</v>
      </c>
      <c r="F9" s="29" t="n">
        <v>-0.034</v>
      </c>
    </row>
    <row r="11" customFormat="false" ht="17.15" hidden="false" customHeight="false" outlineLevel="0" collapsed="false">
      <c r="A11" s="2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2026-10-13T06:20:40Z</dcterms:created>
  <dc:creator>openpyxl</dc:creator>
  <dc:description/>
  <dc:language>en-US</dc:language>
  <cp:lastModifiedBy/>
  <dcterms:modified xsi:type="dcterms:W3CDTF">2026-10-13T06:20:40Z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