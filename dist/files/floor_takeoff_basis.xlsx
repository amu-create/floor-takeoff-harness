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29.png" ContentType="image/png"/>
  <Override PartName="/xl/media/image28.png" ContentType="image/png"/>
  <Override PartName="/xl/media/image11.png" ContentType="image/png"/>
  <Override PartName="/xl/media/image2.png" ContentType="image/png"/>
  <Override PartName="/xl/media/image17.png" ContentType="image/png"/>
  <Override PartName="/xl/media/image8.png" ContentType="image/png"/>
  <Override PartName="/xl/media/image12.png" ContentType="image/png"/>
  <Override PartName="/xl/media/image3.png" ContentType="image/png"/>
  <Override PartName="/xl/media/image18.png" ContentType="image/png"/>
  <Override PartName="/xl/media/image20.png" ContentType="image/png"/>
  <Override PartName="/xl/media/image9.png" ContentType="image/png"/>
  <Override PartName="/xl/media/image4.png" ContentType="image/png"/>
  <Override PartName="/xl/media/image13.png" ContentType="image/png"/>
  <Override PartName="/xl/media/image30.png" ContentType="image/png"/>
  <Override PartName="/xl/media/image31.png" ContentType="image/png"/>
  <Override PartName="/xl/media/image7.png" ContentType="image/png"/>
  <Override PartName="/xl/media/image16.png" ContentType="image/png"/>
  <Override PartName="/xl/media/image10.png" ContentType="image/png"/>
  <Override PartName="/xl/media/image1.png" ContentType="image/png"/>
  <Override PartName="/xl/media/image6.png" ContentType="image/png"/>
  <Override PartName="/xl/media/image15.png" ContentType="image/png"/>
  <Override PartName="/xl/media/image5.png" ContentType="image/png"/>
  <Override PartName="/xl/media/image14.png" ContentType="image/png"/>
  <Override PartName="/xl/media/image19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공종별집계" sheetId="1" state="visible" r:id="rId3"/>
    <sheet name="실별 산출서" sheetId="2" state="visible" r:id="rId4"/>
    <sheet name="산출근거서" sheetId="3" state="visible" r:id="rId5"/>
    <sheet name="검토 필요" sheetId="4" state="visible" r:id="rId6"/>
    <sheet name="실험 기록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<sst xmlns="http://schemas.openxmlformats.org/spreadsheetml/2006/main" count="1593" uniqueCount="397">
  <si>
    <r>
      <rPr>
        <b val="true"/>
        <sz val="13"/>
        <rFont val="Noto Sans CJK SC"/>
        <family val="2"/>
      </rPr>
      <t xml:space="preserve">공종별집계 </t>
    </r>
    <r>
      <rPr>
        <b val="true"/>
        <sz val="13"/>
        <rFont val="Arial"/>
        <family val="0"/>
        <charset val="1"/>
      </rPr>
      <t xml:space="preserve">- </t>
    </r>
    <r>
      <rPr>
        <b val="true"/>
        <sz val="13"/>
        <rFont val="Noto Sans CJK SC"/>
        <family val="2"/>
      </rPr>
      <t xml:space="preserve">바닥 마감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목공사및수장공사 중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</si>
  <si>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11"/>
        <color rgb="FF666666"/>
        <rFont val="Noto Sans CJK SC"/>
        <family val="2"/>
      </rPr>
      <t xml:space="preserve">수량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산출근거서 합계</t>
    </r>
    <r>
      <rPr>
        <i val="true"/>
        <sz val="11"/>
        <color rgb="FF666666"/>
        <rFont val="Arial"/>
        <family val="0"/>
        <charset val="1"/>
      </rPr>
      <t xml:space="preserve">(SUMIFS). </t>
    </r>
    <r>
      <rPr>
        <i val="true"/>
        <sz val="11"/>
        <color rgb="FF666666"/>
        <rFont val="Noto Sans CJK SC"/>
        <family val="2"/>
      </rPr>
      <t xml:space="preserve">도면 기준 </t>
    </r>
    <r>
      <rPr>
        <i val="true"/>
        <sz val="11"/>
        <color rgb="FF666666"/>
        <rFont val="Arial"/>
        <family val="0"/>
        <charset val="1"/>
      </rPr>
      <t xml:space="preserve">= PDF </t>
    </r>
    <r>
      <rPr>
        <i val="true"/>
        <sz val="11"/>
        <color rgb="FF666666"/>
        <rFont val="Noto Sans CJK SC"/>
        <family val="2"/>
      </rPr>
      <t xml:space="preserve">벡터 측정</t>
    </r>
    <r>
      <rPr>
        <i val="true"/>
        <sz val="11"/>
        <color rgb="FF666666"/>
        <rFont val="Arial"/>
        <family val="0"/>
        <charset val="1"/>
      </rPr>
      <t xml:space="preserve">, </t>
    </r>
    <r>
      <rPr>
        <i val="true"/>
        <sz val="11"/>
        <color rgb="FF666666"/>
        <rFont val="Noto Sans CJK SC"/>
        <family val="2"/>
      </rPr>
      <t xml:space="preserve">내역서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발주처 공개 공내역서</t>
    </r>
    <r>
      <rPr>
        <i val="true"/>
        <sz val="11"/>
        <color rgb="FF666666"/>
        <rFont val="Arial"/>
        <family val="0"/>
        <charset val="1"/>
      </rPr>
      <t xml:space="preserve">(2022). </t>
    </r>
    <r>
      <rPr>
        <i val="true"/>
        <sz val="11"/>
        <color rgb="FF666666"/>
        <rFont val="Noto Sans CJK SC"/>
        <family val="2"/>
      </rPr>
      <t xml:space="preserve">수량은 정미량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할증은 일위대가에서 처리</t>
    </r>
    <r>
      <rPr>
        <i val="true"/>
        <sz val="11"/>
        <color rgb="FF666666"/>
        <rFont val="Arial"/>
        <family val="0"/>
        <charset val="1"/>
      </rPr>
      <t xml:space="preserve">).</t>
    </r>
  </si>
  <si>
    <t xml:space="preserve">품명</t>
  </si>
  <si>
    <t xml:space="preserve">규격</t>
  </si>
  <si>
    <t xml:space="preserve">단위</t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</si>
  <si>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산출 수량</t>
    </r>
  </si>
  <si>
    <r>
      <rPr>
        <b val="true"/>
        <sz val="11"/>
        <color rgb="FFFFFFFF"/>
        <rFont val="Noto Sans CJK SC"/>
        <family val="2"/>
      </rPr>
      <t xml:space="preserve">도면 기준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벡터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</si>
  <si>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내역서 수량</t>
  </si>
  <si>
    <r>
      <rPr>
        <b val="true"/>
        <sz val="11"/>
        <color rgb="FFFFFFFF"/>
        <rFont val="Arial"/>
        <family val="0"/>
        <charset val="1"/>
      </rPr>
      <t xml:space="preserve">AI-</t>
    </r>
    <r>
      <rPr>
        <b val="true"/>
        <sz val="11"/>
        <color rgb="FFFFFFFF"/>
        <rFont val="Noto Sans CJK SC"/>
        <family val="2"/>
      </rPr>
      <t xml:space="preserve">도면 오차</t>
    </r>
  </si>
  <si>
    <r>
      <rPr>
        <b val="true"/>
        <sz val="11"/>
        <color rgb="FFFFFFFF"/>
        <rFont val="Arial"/>
        <family val="0"/>
        <charset val="1"/>
      </rPr>
      <t xml:space="preserve">AI-</t>
    </r>
    <r>
      <rPr>
        <b val="true"/>
        <sz val="11"/>
        <color rgb="FFFFFFFF"/>
        <rFont val="Noto Sans CJK SC"/>
        <family val="2"/>
      </rPr>
      <t xml:space="preserve">내역 차이</t>
    </r>
  </si>
  <si>
    <t xml:space="preserve">비고</t>
  </si>
  <si>
    <r>
      <rPr>
        <sz val="11"/>
        <color theme="1"/>
        <rFont val="Noto Sans CJK SC"/>
        <family val="2"/>
      </rPr>
      <t xml:space="preserve">비닐타일 깔기 </t>
    </r>
    <r>
      <rPr>
        <sz val="11"/>
        <color theme="1"/>
        <rFont val="Arial"/>
        <family val="0"/>
        <charset val="1"/>
      </rPr>
      <t xml:space="preserve">[DE-01]</t>
    </r>
  </si>
  <si>
    <r>
      <rPr>
        <sz val="11"/>
        <color theme="1"/>
        <rFont val="Noto Sans CJK SC"/>
        <family val="2"/>
      </rPr>
      <t xml:space="preserve">디럭스타일 </t>
    </r>
    <r>
      <rPr>
        <sz val="11"/>
        <color theme="1"/>
        <rFont val="Arial"/>
        <family val="0"/>
        <charset val="1"/>
      </rPr>
      <t xml:space="preserve">THK3 (</t>
    </r>
    <r>
      <rPr>
        <sz val="11"/>
        <color theme="1"/>
        <rFont val="Noto Sans CJK SC"/>
        <family val="2"/>
      </rPr>
      <t xml:space="preserve">도면 범례 </t>
    </r>
    <r>
      <rPr>
        <sz val="11"/>
        <color theme="1"/>
        <rFont val="Arial"/>
        <family val="0"/>
        <charset val="1"/>
      </rPr>
      <t xml:space="preserve">450x450)</t>
    </r>
  </si>
  <si>
    <t xml:space="preserve">M2</t>
  </si>
  <si>
    <r>
      <rPr>
        <sz val="11"/>
        <color theme="1"/>
        <rFont val="Noto Sans CJK SC"/>
        <family val="2"/>
      </rPr>
      <t xml:space="preserve">내역서 규격 </t>
    </r>
    <r>
      <rPr>
        <sz val="11"/>
        <color theme="1"/>
        <rFont val="Arial"/>
        <family val="0"/>
        <charset val="1"/>
      </rPr>
      <t xml:space="preserve">300x300 ↔ </t>
    </r>
    <r>
      <rPr>
        <sz val="11"/>
        <color theme="1"/>
        <rFont val="Noto Sans CJK SC"/>
        <family val="2"/>
      </rPr>
      <t xml:space="preserve">도면 </t>
    </r>
    <r>
      <rPr>
        <sz val="11"/>
        <color theme="1"/>
        <rFont val="Arial"/>
        <family val="0"/>
        <charset val="1"/>
      </rPr>
      <t xml:space="preserve">450x450 (</t>
    </r>
    <r>
      <rPr>
        <sz val="11"/>
        <color theme="1"/>
        <rFont val="Noto Sans CJK SC"/>
        <family val="2"/>
      </rPr>
      <t xml:space="preserve">규격 불일치 확인 필요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</si>
  <si>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비닐타일 깔기 </t>
    </r>
    <r>
      <rPr>
        <sz val="11"/>
        <color theme="1"/>
        <rFont val="Arial"/>
        <family val="0"/>
        <charset val="1"/>
      </rPr>
      <t xml:space="preserve">[DT-01]</t>
    </r>
  </si>
  <si>
    <r>
      <rPr>
        <sz val="11"/>
        <color theme="1"/>
        <rFont val="Noto Sans CJK SC"/>
        <family val="2"/>
      </rPr>
      <t xml:space="preserve">데코타일 </t>
    </r>
    <r>
      <rPr>
        <sz val="11"/>
        <color theme="1"/>
        <rFont val="Arial"/>
        <family val="0"/>
        <charset val="1"/>
      </rPr>
      <t xml:space="preserve">(MATERIAL LIST 600x600 T5)</t>
    </r>
  </si>
  <si>
    <r>
      <rPr>
        <sz val="11"/>
        <color theme="1"/>
        <rFont val="Noto Sans CJK SC"/>
        <family val="2"/>
      </rPr>
      <t xml:space="preserve">내역서 규격 </t>
    </r>
    <r>
      <rPr>
        <sz val="11"/>
        <color theme="1"/>
        <rFont val="Arial"/>
        <family val="0"/>
        <charset val="1"/>
      </rPr>
      <t xml:space="preserve">450x450 ↔ MATERIAL LIST 600x600 (</t>
    </r>
    <r>
      <rPr>
        <sz val="11"/>
        <color theme="1"/>
        <rFont val="Noto Sans CJK SC"/>
        <family val="2"/>
      </rPr>
      <t xml:space="preserve">규격 불일치 확인 필요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</si>
  <si>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비닐타일 깔기 </t>
    </r>
    <r>
      <rPr>
        <sz val="11"/>
        <color theme="1"/>
        <rFont val="Arial"/>
        <family val="0"/>
        <charset val="1"/>
      </rPr>
      <t xml:space="preserve">[DT-02]</t>
    </r>
  </si>
  <si>
    <r>
      <rPr>
        <sz val="11"/>
        <color theme="1"/>
        <rFont val="Noto Sans CJK SC"/>
        <family val="2"/>
      </rPr>
      <t xml:space="preserve">데코타일 </t>
    </r>
    <r>
      <rPr>
        <sz val="11"/>
        <color theme="1"/>
        <rFont val="Arial"/>
        <family val="0"/>
        <charset val="1"/>
      </rPr>
      <t xml:space="preserve">457x914</t>
    </r>
  </si>
  <si>
    <r>
      <rPr>
        <sz val="11"/>
        <color theme="1"/>
        <rFont val="Noto Sans CJK SC"/>
        <family val="2"/>
      </rPr>
      <t xml:space="preserve">비닐타일 깔기 </t>
    </r>
    <r>
      <rPr>
        <sz val="11"/>
        <color theme="1"/>
        <rFont val="Arial"/>
        <family val="0"/>
        <charset val="1"/>
      </rPr>
      <t xml:space="preserve">[DT-03]</t>
    </r>
  </si>
  <si>
    <r>
      <rPr>
        <sz val="11"/>
        <color theme="1"/>
        <rFont val="Noto Sans CJK SC"/>
        <family val="2"/>
      </rPr>
      <t xml:space="preserve">타일카펫 깔기 </t>
    </r>
    <r>
      <rPr>
        <sz val="11"/>
        <color theme="1"/>
        <rFont val="Arial"/>
        <family val="0"/>
        <charset val="1"/>
      </rPr>
      <t xml:space="preserve">[CT-01]</t>
    </r>
  </si>
  <si>
    <r>
      <rPr>
        <sz val="11"/>
        <color theme="1"/>
        <rFont val="Noto Sans CJK SC"/>
        <family val="2"/>
      </rPr>
      <t xml:space="preserve">타일카펫 </t>
    </r>
    <r>
      <rPr>
        <sz val="11"/>
        <color theme="1"/>
        <rFont val="Arial"/>
        <family val="0"/>
        <charset val="1"/>
      </rPr>
      <t xml:space="preserve">610x610</t>
    </r>
  </si>
  <si>
    <r>
      <rPr>
        <sz val="11"/>
        <color theme="1"/>
        <rFont val="Arial"/>
        <family val="0"/>
        <charset val="1"/>
      </rPr>
      <t xml:space="preserve">B1 </t>
    </r>
    <r>
      <rPr>
        <sz val="11"/>
        <color theme="1"/>
        <rFont val="Noto Sans CJK SC"/>
        <family val="2"/>
      </rPr>
      <t xml:space="preserve">다목적 대회의실 단상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우드플로링</t>
    </r>
    <r>
      <rPr>
        <sz val="11"/>
        <color theme="1"/>
        <rFont val="Arial"/>
        <family val="0"/>
        <charset val="1"/>
      </rPr>
      <t xml:space="preserve">) AI</t>
    </r>
    <r>
      <rPr>
        <sz val="11"/>
        <color theme="1"/>
        <rFont val="Noto Sans CJK SC"/>
        <family val="2"/>
      </rPr>
      <t xml:space="preserve">가 약 </t>
    </r>
    <r>
      <rPr>
        <sz val="11"/>
        <color theme="1"/>
        <rFont val="Arial"/>
        <family val="0"/>
        <charset val="1"/>
      </rPr>
      <t xml:space="preserve">9.4</t>
    </r>
    <r>
      <rPr>
        <sz val="11"/>
        <color theme="1"/>
        <rFont val="Noto Sans CJK SC"/>
        <family val="2"/>
      </rPr>
      <t xml:space="preserve">㎡ 공제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내역 단상 </t>
    </r>
    <r>
      <rPr>
        <sz val="11"/>
        <color theme="1"/>
        <rFont val="Arial"/>
        <family val="0"/>
        <charset val="1"/>
      </rPr>
      <t xml:space="preserve">6000x1200=7.2</t>
    </r>
    <r>
      <rPr>
        <sz val="11"/>
        <color theme="1"/>
        <rFont val="Noto Sans CJK SC"/>
        <family val="2"/>
      </rPr>
      <t xml:space="preserve">㎡</t>
    </r>
    <r>
      <rPr>
        <sz val="11"/>
        <color theme="1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</si>
  <si>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타일카펫 깔기 </t>
    </r>
    <r>
      <rPr>
        <sz val="11"/>
        <color theme="1"/>
        <rFont val="Arial"/>
        <family val="0"/>
        <charset val="1"/>
      </rPr>
      <t xml:space="preserve">[CT-02]</t>
    </r>
  </si>
  <si>
    <r>
      <rPr>
        <sz val="11"/>
        <color theme="1"/>
        <rFont val="Noto Sans CJK SC"/>
        <family val="2"/>
      </rPr>
      <t xml:space="preserve">타일카펫 깔기 </t>
    </r>
    <r>
      <rPr>
        <sz val="11"/>
        <color theme="1"/>
        <rFont val="Arial"/>
        <family val="0"/>
        <charset val="1"/>
      </rPr>
      <t xml:space="preserve">[CT-03]</t>
    </r>
  </si>
  <si>
    <r>
      <rPr>
        <sz val="11"/>
        <color theme="1"/>
        <rFont val="Noto Sans CJK SC"/>
        <family val="2"/>
      </rPr>
      <t xml:space="preserve">타일카펫 깔기 </t>
    </r>
    <r>
      <rPr>
        <sz val="11"/>
        <color theme="1"/>
        <rFont val="Arial"/>
        <family val="0"/>
        <charset val="1"/>
      </rPr>
      <t xml:space="preserve">[CT-04]</t>
    </r>
  </si>
  <si>
    <t xml:space="preserve">타일카펫</t>
  </si>
  <si>
    <r>
      <rPr>
        <sz val="11"/>
        <color theme="1"/>
        <rFont val="Noto Sans CJK SC"/>
        <family val="2"/>
      </rPr>
      <t xml:space="preserve">도면 범례</t>
    </r>
    <r>
      <rPr>
        <sz val="11"/>
        <color theme="1"/>
        <rFont val="Arial"/>
        <family val="0"/>
        <charset val="1"/>
      </rPr>
      <t xml:space="preserve">·MATERIAL LIST</t>
    </r>
    <r>
      <rPr>
        <sz val="11"/>
        <color theme="1"/>
        <rFont val="Noto Sans CJK SC"/>
        <family val="2"/>
      </rPr>
      <t xml:space="preserve">에 없는 코드</t>
    </r>
    <r>
      <rPr>
        <sz val="11"/>
        <color theme="1"/>
        <rFont val="Arial"/>
        <family val="0"/>
        <charset val="1"/>
      </rPr>
      <t xml:space="preserve">. </t>
    </r>
    <r>
      <rPr>
        <sz val="11"/>
        <color theme="1"/>
        <rFont val="Noto Sans CJK SC"/>
        <family val="2"/>
      </rPr>
      <t xml:space="preserve">내역 </t>
    </r>
    <r>
      <rPr>
        <sz val="11"/>
        <color theme="1"/>
        <rFont val="Arial"/>
        <family val="0"/>
        <charset val="1"/>
      </rPr>
      <t xml:space="preserve">CT </t>
    </r>
    <r>
      <rPr>
        <sz val="11"/>
        <color theme="1"/>
        <rFont val="Noto Sans CJK SC"/>
        <family val="2"/>
      </rPr>
      <t xml:space="preserve">번호 체계가 도면과 달라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내역 </t>
    </r>
    <r>
      <rPr>
        <sz val="11"/>
        <color theme="1"/>
        <rFont val="Arial"/>
        <family val="0"/>
        <charset val="1"/>
      </rPr>
      <t xml:space="preserve">CT-01 101</t>
    </r>
    <r>
      <rPr>
        <sz val="11"/>
        <color theme="1"/>
        <rFont val="Noto Sans CJK SC"/>
        <family val="2"/>
      </rPr>
      <t xml:space="preserve">㎡ </t>
    </r>
    <r>
      <rPr>
        <sz val="11"/>
        <color theme="1"/>
        <rFont val="Arial"/>
        <family val="0"/>
        <charset val="1"/>
      </rPr>
      <t xml:space="preserve">&lt; </t>
    </r>
    <r>
      <rPr>
        <sz val="11"/>
        <color theme="1"/>
        <rFont val="Noto Sans CJK SC"/>
        <family val="2"/>
      </rPr>
      <t xml:space="preserve">도면 </t>
    </r>
    <r>
      <rPr>
        <sz val="11"/>
        <color theme="1"/>
        <rFont val="Arial"/>
        <family val="0"/>
        <charset val="1"/>
      </rPr>
      <t xml:space="preserve">CT-01</t>
    </r>
    <r>
      <rPr>
        <sz val="11"/>
        <color theme="1"/>
        <rFont val="Noto Sans CJK SC"/>
        <family val="2"/>
      </rPr>
      <t xml:space="preserve">인 </t>
    </r>
    <r>
      <rPr>
        <sz val="11"/>
        <color theme="1"/>
        <rFont val="Arial"/>
        <family val="0"/>
        <charset val="1"/>
      </rPr>
      <t xml:space="preserve">B1 </t>
    </r>
    <r>
      <rPr>
        <sz val="11"/>
        <color theme="1"/>
        <rFont val="Noto Sans CJK SC"/>
        <family val="2"/>
      </rPr>
      <t xml:space="preserve">대회의실 </t>
    </r>
    <r>
      <rPr>
        <sz val="11"/>
        <color theme="1"/>
        <rFont val="Arial"/>
        <family val="0"/>
        <charset val="1"/>
      </rPr>
      <t xml:space="preserve">135</t>
    </r>
    <r>
      <rPr>
        <sz val="11"/>
        <color theme="1"/>
        <rFont val="Noto Sans CJK SC"/>
        <family val="2"/>
      </rPr>
      <t xml:space="preserve">㎡</t>
    </r>
    <r>
      <rPr>
        <sz val="11"/>
        <color theme="1"/>
        <rFont val="Arial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코드별 대조 불가 → 아래 종류별 대조 참고</t>
    </r>
  </si>
  <si>
    <r>
      <rPr>
        <sz val="11"/>
        <color theme="1"/>
        <rFont val="Noto Sans CJK SC"/>
        <family val="2"/>
      </rPr>
      <t xml:space="preserve">타일카펫 깔기 </t>
    </r>
    <r>
      <rPr>
        <sz val="11"/>
        <color theme="1"/>
        <rFont val="Arial"/>
        <family val="0"/>
        <charset val="1"/>
      </rPr>
      <t xml:space="preserve">[CT-05]</t>
    </r>
  </si>
  <si>
    <t xml:space="preserve">바닥 마감 소계</t>
  </si>
  <si>
    <r>
      <rPr>
        <sz val="11"/>
        <color theme="1"/>
        <rFont val="Noto Sans CJK SC"/>
        <family val="2"/>
      </rPr>
      <t xml:space="preserve">참고</t>
    </r>
    <r>
      <rPr>
        <sz val="11"/>
        <color theme="1"/>
        <rFont val="Arial"/>
        <family val="0"/>
        <charset val="1"/>
      </rPr>
      <t xml:space="preserve">: </t>
    </r>
    <r>
      <rPr>
        <sz val="11"/>
        <color theme="1"/>
        <rFont val="Noto Sans CJK SC"/>
        <family val="2"/>
      </rPr>
      <t xml:space="preserve">내역서 </t>
    </r>
    <r>
      <rPr>
        <sz val="11"/>
        <color theme="1"/>
        <rFont val="Arial"/>
        <family val="0"/>
        <charset val="1"/>
      </rPr>
      <t xml:space="preserve">'</t>
    </r>
    <r>
      <rPr>
        <sz val="11"/>
        <color theme="1"/>
        <rFont val="Noto Sans CJK SC"/>
        <family val="2"/>
      </rPr>
      <t xml:space="preserve">기존면바탕정리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바닥</t>
    </r>
    <r>
      <rPr>
        <sz val="11"/>
        <color theme="1"/>
        <rFont val="Arial"/>
        <family val="0"/>
        <charset val="1"/>
      </rPr>
      <t xml:space="preserve">)' 1,324</t>
    </r>
    <r>
      <rPr>
        <sz val="11"/>
        <color theme="1"/>
        <rFont val="Noto Sans CJK SC"/>
        <family val="2"/>
      </rPr>
      <t xml:space="preserve">㎡ ≈ 바닥재 합 </t>
    </r>
    <r>
      <rPr>
        <sz val="11"/>
        <color theme="1"/>
        <rFont val="Arial"/>
        <family val="0"/>
        <charset val="1"/>
      </rPr>
      <t xml:space="preserve">1,323</t>
    </r>
    <r>
      <rPr>
        <sz val="11"/>
        <color theme="1"/>
        <rFont val="Noto Sans CJK SC"/>
        <family val="2"/>
      </rPr>
      <t xml:space="preserve">㎡ → 내역 수량은 정미량</t>
    </r>
  </si>
  <si>
    <r>
      <rPr>
        <sz val="11"/>
        <color theme="1"/>
        <rFont val="Noto Sans CJK SC"/>
        <family val="2"/>
      </rPr>
      <t xml:space="preserve">걸레받이 설치 </t>
    </r>
    <r>
      <rPr>
        <sz val="11"/>
        <color theme="1"/>
        <rFont val="Arial"/>
        <family val="0"/>
        <charset val="1"/>
      </rPr>
      <t xml:space="preserve">- MDF+</t>
    </r>
    <r>
      <rPr>
        <sz val="11"/>
        <color theme="1"/>
        <rFont val="Noto Sans CJK SC"/>
        <family val="2"/>
      </rPr>
      <t xml:space="preserve">인테리어필름</t>
    </r>
  </si>
  <si>
    <r>
      <rPr>
        <sz val="11"/>
        <color theme="1"/>
        <rFont val="Arial"/>
        <family val="0"/>
        <charset val="1"/>
      </rPr>
      <t xml:space="preserve">T=9, H=30 (</t>
    </r>
    <r>
      <rPr>
        <sz val="11"/>
        <color theme="1"/>
        <rFont val="Noto Sans CJK SC"/>
        <family val="2"/>
      </rPr>
      <t xml:space="preserve">내역서 규격</t>
    </r>
    <r>
      <rPr>
        <sz val="11"/>
        <color theme="1"/>
        <rFont val="Arial"/>
        <family val="0"/>
        <charset val="1"/>
      </rPr>
      <t xml:space="preserve">)</t>
    </r>
  </si>
  <si>
    <t xml:space="preserve">M</t>
  </si>
  <si>
    <r>
      <rPr>
        <sz val="11"/>
        <color theme="1"/>
        <rFont val="Noto Sans CJK SC"/>
        <family val="2"/>
      </rPr>
      <t xml:space="preserve">미해결</t>
    </r>
    <r>
      <rPr>
        <sz val="11"/>
        <color theme="1"/>
        <rFont val="Arial"/>
        <family val="0"/>
        <charset val="1"/>
      </rPr>
      <t xml:space="preserve">: AI </t>
    </r>
    <r>
      <rPr>
        <sz val="11"/>
        <color theme="1"/>
        <rFont val="Noto Sans CJK SC"/>
        <family val="2"/>
      </rPr>
      <t xml:space="preserve">산출이 내역 대비 약 </t>
    </r>
    <r>
      <rPr>
        <sz val="11"/>
        <color theme="1"/>
        <rFont val="Arial"/>
        <family val="0"/>
        <charset val="1"/>
      </rPr>
      <t xml:space="preserve">-40%. </t>
    </r>
    <r>
      <rPr>
        <sz val="11"/>
        <color theme="1"/>
        <rFont val="Noto Sans CJK SC"/>
        <family val="2"/>
      </rPr>
      <t xml:space="preserve">열린 사무실</t>
    </r>
    <r>
      <rPr>
        <sz val="11"/>
        <color theme="1"/>
        <rFont val="Arial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복도 둘레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가구 뒤</t>
    </r>
    <r>
      <rPr>
        <sz val="11"/>
        <color theme="1"/>
        <rFont val="Arial"/>
        <family val="0"/>
        <charset val="1"/>
      </rPr>
      <t xml:space="preserve">, </t>
    </r>
    <r>
      <rPr>
        <sz val="11"/>
        <color theme="1"/>
        <rFont val="Noto Sans CJK SC"/>
        <family val="2"/>
      </rPr>
      <t xml:space="preserve">기둥 둘레 처리 기준 확인 필요</t>
    </r>
  </si>
  <si>
    <r>
      <rPr>
        <b val="true"/>
        <sz val="11"/>
        <rFont val="Noto Sans CJK SC"/>
        <family val="2"/>
      </rPr>
      <t xml:space="preserve">자재 종류별 대조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코드 번호 체계 차이를 피해서 비교</t>
    </r>
    <r>
      <rPr>
        <b val="true"/>
        <sz val="11"/>
        <rFont val="Arial"/>
        <family val="0"/>
        <charset val="1"/>
      </rPr>
      <t xml:space="preserve">)</t>
    </r>
  </si>
  <si>
    <t xml:space="preserve">종류</t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</si>
  <si>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산출</t>
    </r>
  </si>
  <si>
    <t xml:space="preserve">내역서</t>
  </si>
  <si>
    <r>
      <rPr>
        <b val="true"/>
        <sz val="11"/>
        <color rgb="FFFFFFFF"/>
        <rFont val="Noto Sans CJK SC"/>
        <family val="2"/>
      </rPr>
      <t xml:space="preserve">도면</t>
    </r>
    <r>
      <rPr>
        <b val="true"/>
        <sz val="11"/>
        <color rgb="FFFFFFFF"/>
        <rFont val="Arial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내역 차이</t>
    </r>
  </si>
  <si>
    <t xml:space="preserve">해석</t>
  </si>
  <si>
    <r>
      <rPr>
        <sz val="11"/>
        <rFont val="Arial"/>
        <family val="0"/>
        <charset val="1"/>
      </rPr>
      <t xml:space="preserve">DE </t>
    </r>
    <r>
      <rPr>
        <sz val="11"/>
        <rFont val="Noto Sans CJK SC"/>
        <family val="2"/>
      </rPr>
      <t xml:space="preserve">디럭스타일</t>
    </r>
  </si>
  <si>
    <r>
      <rPr>
        <sz val="11"/>
        <rFont val="Noto Sans CJK SC"/>
        <family val="2"/>
      </rPr>
      <t xml:space="preserve">도면이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㎡ 많음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태그 해석 차이</t>
    </r>
    <r>
      <rPr>
        <sz val="11"/>
        <rFont val="Arial"/>
        <family val="0"/>
        <charset val="1"/>
      </rPr>
      <t xml:space="preserve">(2F </t>
    </r>
    <r>
      <rPr>
        <sz val="11"/>
        <rFont val="Noto Sans CJK SC"/>
        <family val="2"/>
      </rPr>
      <t xml:space="preserve">금고 </t>
    </r>
    <r>
      <rPr>
        <sz val="11"/>
        <rFont val="Arial"/>
        <family val="0"/>
        <charset val="1"/>
      </rPr>
      <t xml:space="preserve">P-TILE </t>
    </r>
    <r>
      <rPr>
        <sz val="11"/>
        <rFont val="Noto Sans CJK SC"/>
        <family val="2"/>
      </rPr>
      <t xml:space="preserve">문구 등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</si>
  <si>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DT </t>
    </r>
    <r>
      <rPr>
        <sz val="11"/>
        <rFont val="Noto Sans CJK SC"/>
        <family val="2"/>
      </rPr>
      <t xml:space="preserve">데코타일</t>
    </r>
  </si>
  <si>
    <r>
      <rPr>
        <sz val="11"/>
        <rFont val="Noto Sans CJK SC"/>
        <family val="2"/>
      </rPr>
      <t xml:space="preserve">내역이 </t>
    </r>
    <r>
      <rPr>
        <sz val="11"/>
        <rFont val="Arial"/>
        <family val="0"/>
        <charset val="1"/>
      </rPr>
      <t xml:space="preserve">103</t>
    </r>
    <r>
      <rPr>
        <sz val="11"/>
        <rFont val="Noto Sans CJK SC"/>
        <family val="2"/>
      </rPr>
      <t xml:space="preserve">㎡ 많음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무코드 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미표기 구역 포함 추정</t>
    </r>
  </si>
  <si>
    <r>
      <rPr>
        <sz val="11"/>
        <rFont val="Arial"/>
        <family val="0"/>
        <charset val="1"/>
      </rPr>
      <t xml:space="preserve">CT </t>
    </r>
    <r>
      <rPr>
        <sz val="11"/>
        <rFont val="Noto Sans CJK SC"/>
        <family val="2"/>
      </rPr>
      <t xml:space="preserve">타일카펫</t>
    </r>
  </si>
  <si>
    <r>
      <rPr>
        <sz val="11"/>
        <rFont val="Noto Sans CJK SC"/>
        <family val="2"/>
      </rPr>
      <t xml:space="preserve">내역이 </t>
    </r>
    <r>
      <rPr>
        <sz val="11"/>
        <rFont val="Arial"/>
        <family val="0"/>
        <charset val="1"/>
      </rPr>
      <t xml:space="preserve">29</t>
    </r>
    <r>
      <rPr>
        <sz val="11"/>
        <rFont val="Noto Sans CJK SC"/>
        <family val="2"/>
      </rPr>
      <t xml:space="preserve">㎡ 많음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단상 처리 차이 추정</t>
    </r>
  </si>
  <si>
    <r>
      <rPr>
        <b val="true"/>
        <sz val="13"/>
        <rFont val="Noto Sans CJK SC"/>
        <family val="2"/>
      </rPr>
      <t xml:space="preserve">실별 산출서 </t>
    </r>
    <r>
      <rPr>
        <b val="true"/>
        <sz val="13"/>
        <rFont val="Arial"/>
        <family val="0"/>
        <charset val="1"/>
      </rPr>
      <t xml:space="preserve">- </t>
    </r>
    <r>
      <rPr>
        <b val="true"/>
        <sz val="13"/>
        <rFont val="Noto Sans CJK SC"/>
        <family val="2"/>
      </rPr>
      <t xml:space="preserve">실마다 면적 </t>
    </r>
    <r>
      <rPr>
        <b val="true"/>
        <sz val="13"/>
        <rFont val="Arial"/>
        <family val="0"/>
        <charset val="1"/>
      </rPr>
      <t xml:space="preserve">A·</t>
    </r>
    <r>
      <rPr>
        <b val="true"/>
        <sz val="13"/>
        <rFont val="Noto Sans CJK SC"/>
        <family val="2"/>
      </rPr>
      <t xml:space="preserve">둘레 </t>
    </r>
    <r>
      <rPr>
        <b val="true"/>
        <sz val="13"/>
        <rFont val="Arial"/>
        <family val="0"/>
        <charset val="1"/>
      </rPr>
      <t xml:space="preserve">L·</t>
    </r>
    <r>
      <rPr>
        <b val="true"/>
        <sz val="13"/>
        <rFont val="Noto Sans CJK SC"/>
        <family val="2"/>
      </rPr>
      <t xml:space="preserve">걸레받이 </t>
    </r>
    <r>
      <rPr>
        <b val="true"/>
        <sz val="13"/>
        <rFont val="Arial"/>
        <family val="0"/>
        <charset val="1"/>
      </rPr>
      <t xml:space="preserve">B</t>
    </r>
    <r>
      <rPr>
        <b val="true"/>
        <sz val="13"/>
        <rFont val="Noto Sans CJK SC"/>
        <family val="2"/>
      </rPr>
      <t xml:space="preserve">를 먼저 정하고</t>
    </r>
    <r>
      <rPr>
        <b val="true"/>
        <sz val="13"/>
        <rFont val="Arial"/>
        <family val="0"/>
        <charset val="1"/>
      </rPr>
      <t xml:space="preserve">, </t>
    </r>
    <r>
      <rPr>
        <b val="true"/>
        <sz val="13"/>
        <rFont val="Noto Sans CJK SC"/>
        <family val="2"/>
      </rPr>
      <t xml:space="preserve">마감 품목은 그 변수로 계산</t>
    </r>
  </si>
  <si>
    <r>
      <rPr>
        <i val="true"/>
        <sz val="11"/>
        <color rgb="FF666666"/>
        <rFont val="Noto Sans CJK SC"/>
        <family val="2"/>
      </rPr>
      <t xml:space="preserve">파란 글씨 </t>
    </r>
    <r>
      <rPr>
        <i val="true"/>
        <sz val="11"/>
        <color rgb="FF666666"/>
        <rFont val="Arial"/>
        <family val="0"/>
        <charset val="1"/>
      </rPr>
      <t xml:space="preserve">= AI</t>
    </r>
    <r>
      <rPr>
        <i val="true"/>
        <sz val="11"/>
        <color rgb="FF666666"/>
        <rFont val="Noto Sans CJK SC"/>
        <family val="2"/>
      </rPr>
      <t xml:space="preserve">가 도면에서 읽은 값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물량 칸은 수식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변수 셀 참조</t>
    </r>
    <r>
      <rPr>
        <i val="true"/>
        <sz val="11"/>
        <color rgb="FF666666"/>
        <rFont val="Arial"/>
        <family val="0"/>
        <charset val="1"/>
      </rPr>
      <t xml:space="preserve">). </t>
    </r>
    <r>
      <rPr>
        <i val="true"/>
        <sz val="11"/>
        <color rgb="FF666666"/>
        <rFont val="Noto Sans CJK SC"/>
        <family val="2"/>
      </rPr>
      <t xml:space="preserve">형상 그림은 </t>
    </r>
    <r>
      <rPr>
        <i val="true"/>
        <sz val="11"/>
        <color rgb="FF666666"/>
        <rFont val="Arial"/>
        <family val="0"/>
        <charset val="1"/>
      </rPr>
      <t xml:space="preserve">AI</t>
    </r>
    <r>
      <rPr>
        <i val="true"/>
        <sz val="11"/>
        <color rgb="FF666666"/>
        <rFont val="Noto Sans CJK SC"/>
        <family val="2"/>
      </rPr>
      <t xml:space="preserve">가 읽은 가로</t>
    </r>
    <r>
      <rPr>
        <i val="true"/>
        <sz val="11"/>
        <color rgb="FF666666"/>
        <rFont val="Arial"/>
        <family val="0"/>
        <charset val="1"/>
      </rPr>
      <t xml:space="preserve">×</t>
    </r>
    <r>
      <rPr>
        <i val="true"/>
        <sz val="11"/>
        <color rgb="FF666666"/>
        <rFont val="Noto Sans CJK SC"/>
        <family val="2"/>
      </rPr>
      <t xml:space="preserve">세로로 그린 단순화 도형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비정형 실은 가산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공제를 산식에 따로 표시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</si>
  <si>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도형</t>
  </si>
  <si>
    <t xml:space="preserve">부위</t>
  </si>
  <si>
    <t xml:space="preserve">산식</t>
  </si>
  <si>
    <t xml:space="preserve">물량</t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</si>
  <si>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B1 </t>
    </r>
    <r>
      <rPr>
        <b val="true"/>
        <sz val="11"/>
        <rFont val="Noto Sans CJK SC"/>
        <family val="2"/>
      </rPr>
      <t xml:space="preserve">다목적 대회의실</t>
    </r>
  </si>
  <si>
    <r>
      <rPr>
        <b val="true"/>
        <sz val="11"/>
        <rFont val="Noto Sans CJK SC"/>
        <family val="2"/>
      </rPr>
      <t xml:space="preserve">개소 </t>
    </r>
    <r>
      <rPr>
        <b val="true"/>
        <sz val="11"/>
        <rFont val="Arial"/>
        <family val="0"/>
        <charset val="1"/>
      </rPr>
      <t xml:space="preserve">: 1</t>
    </r>
  </si>
  <si>
    <r>
      <rPr>
        <sz val="11"/>
        <color rgb="FF666666"/>
        <rFont val="Noto Sans CJK SC"/>
        <family val="2"/>
      </rPr>
      <t xml:space="preserve">신뢰도 </t>
    </r>
    <r>
      <rPr>
        <sz val="11"/>
        <color rgb="FF666666"/>
        <rFont val="Arial"/>
        <family val="0"/>
        <charset val="1"/>
      </rPr>
      <t xml:space="preserve">mid</t>
    </r>
  </si>
  <si>
    <t xml:space="preserve">A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</si>
  <si>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면 적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</si>
  <si>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11.160 × 12.000 = 133.920  -9.870&lt;</t>
    </r>
    <r>
      <rPr>
        <sz val="11"/>
        <rFont val="Noto Sans CJK SC"/>
        <family val="2"/>
      </rPr>
      <t xml:space="preserve">공제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No.1&gt;</t>
    </r>
  </si>
  <si>
    <t xml:space="preserve">L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</si>
  <si>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둘 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</si>
  <si>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비정형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사각형 근사 생략</t>
    </r>
  </si>
  <si>
    <t xml:space="preserve">B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</si>
  <si>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</si>
  <si>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</t>
    </r>
  </si>
  <si>
    <t xml:space="preserve">H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</si>
  <si>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마감높이</t>
    </r>
    <r>
      <rPr>
        <sz val="11"/>
        <rFont val="Arial"/>
        <family val="0"/>
        <charset val="1"/>
      </rPr>
      <t xml:space="preserve">)</t>
    </r>
  </si>
  <si>
    <t xml:space="preserve">바닥 마감 범위 외</t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</si>
  <si>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산 출 범 위</t>
    </r>
    <r>
      <rPr>
        <sz val="11"/>
        <rFont val="Arial"/>
        <family val="0"/>
        <charset val="1"/>
      </rPr>
      <t xml:space="preserve">]</t>
    </r>
  </si>
  <si>
    <t xml:space="preserve">바닥</t>
  </si>
  <si>
    <r>
      <rPr>
        <sz val="11"/>
        <rFont val="Noto Sans CJK SC"/>
        <family val="2"/>
      </rPr>
      <t xml:space="preserve">타일카펫 깔기 </t>
    </r>
    <r>
      <rPr>
        <sz val="11"/>
        <rFont val="Arial"/>
        <family val="0"/>
        <charset val="1"/>
      </rPr>
      <t xml:space="preserve">[CT-01]</t>
    </r>
  </si>
  <si>
    <r>
      <rPr>
        <sz val="11"/>
        <rFont val="Noto Sans CJK SC"/>
        <family val="2"/>
      </rPr>
      <t xml:space="preserve">타일카펫 </t>
    </r>
    <r>
      <rPr>
        <sz val="11"/>
        <rFont val="Arial"/>
        <family val="0"/>
        <charset val="1"/>
      </rPr>
      <t xml:space="preserve">610x610</t>
    </r>
  </si>
  <si>
    <r>
      <rPr>
        <sz val="11"/>
        <rFont val="Arial"/>
        <family val="0"/>
        <charset val="1"/>
      </rPr>
      <t xml:space="preserve">A&lt;</t>
    </r>
    <r>
      <rPr>
        <sz val="11"/>
        <rFont val="Noto Sans CJK SC"/>
        <family val="2"/>
      </rPr>
      <t xml:space="preserve">면적</t>
    </r>
    <r>
      <rPr>
        <sz val="11"/>
        <rFont val="Arial"/>
        <family val="0"/>
        <charset val="1"/>
      </rPr>
      <t xml:space="preserve">&gt; − 0&lt;</t>
    </r>
    <r>
      <rPr>
        <sz val="11"/>
        <rFont val="Noto Sans CJK SC"/>
        <family val="2"/>
      </rPr>
      <t xml:space="preserve">기둥 공제</t>
    </r>
    <r>
      <rPr>
        <sz val="11"/>
        <rFont val="Arial"/>
        <family val="0"/>
        <charset val="1"/>
      </rPr>
      <t xml:space="preserve">&gt;</t>
    </r>
  </si>
  <si>
    <t xml:space="preserve">걸레받이</t>
  </si>
  <si>
    <t xml:space="preserve">걸레받이 설치</t>
  </si>
  <si>
    <r>
      <rPr>
        <sz val="11"/>
        <rFont val="Arial"/>
        <family val="0"/>
        <charset val="1"/>
      </rPr>
      <t xml:space="preserve">MDF+</t>
    </r>
    <r>
      <rPr>
        <sz val="11"/>
        <rFont val="Noto Sans CJK SC"/>
        <family val="2"/>
      </rPr>
      <t xml:space="preserve">인테리어필름 </t>
    </r>
    <r>
      <rPr>
        <sz val="11"/>
        <rFont val="Arial"/>
        <family val="0"/>
        <charset val="1"/>
      </rPr>
      <t xml:space="preserve">T=9, H=30</t>
    </r>
  </si>
  <si>
    <r>
      <rPr>
        <sz val="11"/>
        <rFont val="Arial"/>
        <family val="0"/>
        <charset val="1"/>
      </rPr>
      <t xml:space="preserve">B&lt;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&gt;</t>
    </r>
  </si>
  <si>
    <r>
      <rPr>
        <sz val="11"/>
        <rFont val="Arial"/>
        <family val="0"/>
        <charset val="1"/>
      </rPr>
      <t xml:space="preserve">[ </t>
    </r>
    <r>
      <rPr>
        <sz val="11"/>
        <rFont val="Noto Sans CJK SC"/>
        <family val="2"/>
      </rPr>
      <t xml:space="preserve">끝 </t>
    </r>
    <r>
      <rPr>
        <sz val="11"/>
        <rFont val="Arial"/>
        <family val="0"/>
        <charset val="1"/>
      </rPr>
      <t xml:space="preserve">]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</si>
  <si>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B1 </t>
    </r>
    <r>
      <rPr>
        <b val="true"/>
        <sz val="11"/>
        <rFont val="Noto Sans CJK SC"/>
        <family val="2"/>
      </rPr>
      <t xml:space="preserve">서고</t>
    </r>
  </si>
  <si>
    <r>
      <rPr>
        <sz val="11"/>
        <color rgb="FF666666"/>
        <rFont val="Noto Sans CJK SC"/>
        <family val="2"/>
      </rPr>
      <t xml:space="preserve">신뢰도 </t>
    </r>
    <r>
      <rPr>
        <sz val="11"/>
        <color rgb="FF666666"/>
        <rFont val="Arial"/>
        <family val="0"/>
        <charset val="1"/>
      </rPr>
      <t xml:space="preserve">low</t>
    </r>
  </si>
  <si>
    <r>
      <rPr>
        <sz val="11"/>
        <rFont val="Arial"/>
        <family val="0"/>
        <charset val="1"/>
      </rPr>
      <t xml:space="preserve">6.930 × 4.560 = 31.601  +3.829&lt;</t>
    </r>
    <r>
      <rPr>
        <sz val="11"/>
        <rFont val="Noto Sans CJK SC"/>
        <family val="2"/>
      </rPr>
      <t xml:space="preserve">가산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</si>
  <si>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</t>
    </r>
  </si>
  <si>
    <r>
      <rPr>
        <sz val="11"/>
        <rFont val="Noto Sans CJK SC"/>
        <family val="2"/>
      </rPr>
      <t xml:space="preserve">비닐타일 깔기 </t>
    </r>
    <r>
      <rPr>
        <sz val="11"/>
        <rFont val="Arial"/>
        <family val="0"/>
        <charset val="1"/>
      </rPr>
      <t xml:space="preserve">[DE-01]</t>
    </r>
  </si>
  <si>
    <r>
      <rPr>
        <sz val="11"/>
        <rFont val="Noto Sans CJK SC"/>
        <family val="2"/>
      </rPr>
      <t xml:space="preserve">디럭스타일 </t>
    </r>
    <r>
      <rPr>
        <sz val="11"/>
        <rFont val="Arial"/>
        <family val="0"/>
        <charset val="1"/>
      </rPr>
      <t xml:space="preserve">THK3 (</t>
    </r>
    <r>
      <rPr>
        <sz val="11"/>
        <rFont val="Noto Sans CJK SC"/>
        <family val="2"/>
      </rPr>
      <t xml:space="preserve">도면 범례 </t>
    </r>
    <r>
      <rPr>
        <sz val="11"/>
        <rFont val="Arial"/>
        <family val="0"/>
        <charset val="1"/>
      </rPr>
      <t xml:space="preserve">450x450)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</si>
  <si>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B1 </t>
    </r>
    <r>
      <rPr>
        <b val="true"/>
        <sz val="11"/>
        <rFont val="Noto Sans CJK SC"/>
        <family val="2"/>
      </rPr>
      <t xml:space="preserve">기자실</t>
    </r>
  </si>
  <si>
    <r>
      <rPr>
        <sz val="11"/>
        <color rgb="FF666666"/>
        <rFont val="Noto Sans CJK SC"/>
        <family val="2"/>
      </rPr>
      <t xml:space="preserve">신뢰도 </t>
    </r>
    <r>
      <rPr>
        <sz val="11"/>
        <color rgb="FF666666"/>
        <rFont val="Arial"/>
        <family val="0"/>
        <charset val="1"/>
      </rPr>
      <t xml:space="preserve">high</t>
    </r>
  </si>
  <si>
    <t xml:space="preserve">4.100 × 2.950 = 12.095</t>
  </si>
  <si>
    <t xml:space="preserve">2 × (4.100 + 2.950)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</si>
  <si>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No.3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</si>
  <si>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B1 </t>
    </r>
    <r>
      <rPr>
        <b val="true"/>
        <sz val="11"/>
        <rFont val="Noto Sans CJK SC"/>
        <family val="2"/>
      </rPr>
      <t xml:space="preserve">기사대기실</t>
    </r>
  </si>
  <si>
    <t xml:space="preserve">2.000 × 2.050 = 4.100</t>
  </si>
  <si>
    <t xml:space="preserve">2 × (2.000 + 2.050)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</si>
  <si>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No.4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</si>
  <si>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B1 </t>
    </r>
    <r>
      <rPr>
        <b val="true"/>
        <sz val="11"/>
        <rFont val="Noto Sans CJK SC"/>
        <family val="2"/>
      </rPr>
      <t xml:space="preserve">창고</t>
    </r>
  </si>
  <si>
    <t xml:space="preserve">1.700 × 2.850 = 4.845</t>
  </si>
  <si>
    <t xml:space="preserve">2 × (1.700 + 2.850)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</si>
  <si>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No.5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</si>
  <si>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B1 </t>
    </r>
    <r>
      <rPr>
        <b val="true"/>
        <sz val="11"/>
        <rFont val="Noto Sans CJK SC"/>
        <family val="2"/>
      </rPr>
      <t xml:space="preserve">이사장실</t>
    </r>
  </si>
  <si>
    <t xml:space="preserve">2.849 × 2.495 = 7.108</t>
  </si>
  <si>
    <t xml:space="preserve">2 × (2.849 + 2.495)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</si>
  <si>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No.6</t>
    </r>
  </si>
  <si>
    <r>
      <rPr>
        <sz val="11"/>
        <rFont val="Noto Sans CJK SC"/>
        <family val="2"/>
      </rPr>
      <t xml:space="preserve">비닐타일 깔기 </t>
    </r>
    <r>
      <rPr>
        <sz val="11"/>
        <rFont val="Arial"/>
        <family val="0"/>
        <charset val="1"/>
      </rPr>
      <t xml:space="preserve">[DT-01]</t>
    </r>
  </si>
  <si>
    <r>
      <rPr>
        <sz val="11"/>
        <rFont val="Noto Sans CJK SC"/>
        <family val="2"/>
      </rPr>
      <t xml:space="preserve">데코타일 </t>
    </r>
    <r>
      <rPr>
        <sz val="11"/>
        <rFont val="Arial"/>
        <family val="0"/>
        <charset val="1"/>
      </rPr>
      <t xml:space="preserve">(MATERIAL LIST 600x600 T5)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</si>
  <si>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B1 </t>
    </r>
    <r>
      <rPr>
        <b val="true"/>
        <sz val="11"/>
        <rFont val="Noto Sans CJK SC"/>
        <family val="2"/>
      </rPr>
      <t xml:space="preserve">법률구조재단</t>
    </r>
  </si>
  <si>
    <r>
      <rPr>
        <sz val="11"/>
        <rFont val="Arial"/>
        <family val="0"/>
        <charset val="1"/>
      </rPr>
      <t xml:space="preserve">7.845 × 5.450 = 42.755  -11.185&lt;</t>
    </r>
    <r>
      <rPr>
        <sz val="11"/>
        <rFont val="Noto Sans CJK SC"/>
        <family val="2"/>
      </rPr>
      <t xml:space="preserve">공제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No.7&gt;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</si>
  <si>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No.7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</si>
  <si>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2F </t>
    </r>
    <r>
      <rPr>
        <b val="true"/>
        <sz val="11"/>
        <rFont val="Noto Sans CJK SC"/>
        <family val="2"/>
      </rPr>
      <t xml:space="preserve">여직원휴게실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수유실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</si>
  <si>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2.196 × 4.045 = 8.883  -0.333&lt;</t>
    </r>
    <r>
      <rPr>
        <sz val="11"/>
        <rFont val="Noto Sans CJK SC"/>
        <family val="2"/>
      </rPr>
      <t xml:space="preserve">공제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No.8&gt;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</si>
  <si>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No.8</t>
    </r>
  </si>
  <si>
    <r>
      <rPr>
        <sz val="11"/>
        <rFont val="Noto Sans CJK SC"/>
        <family val="2"/>
      </rPr>
      <t xml:space="preserve">타일카펫 깔기 </t>
    </r>
    <r>
      <rPr>
        <sz val="11"/>
        <rFont val="Arial"/>
        <family val="0"/>
        <charset val="1"/>
      </rPr>
      <t xml:space="preserve">[CT-02]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</si>
  <si>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2F </t>
    </r>
    <r>
      <rPr>
        <b val="true"/>
        <sz val="11"/>
        <rFont val="Noto Sans CJK SC"/>
        <family val="2"/>
      </rPr>
      <t xml:space="preserve">소회의실</t>
    </r>
    <r>
      <rPr>
        <b val="true"/>
        <sz val="11"/>
        <rFont val="Arial"/>
        <family val="0"/>
        <charset val="1"/>
      </rPr>
      <t xml:space="preserve">-1</t>
    </r>
  </si>
  <si>
    <r>
      <rPr>
        <sz val="11"/>
        <rFont val="Arial"/>
        <family val="0"/>
        <charset val="1"/>
      </rPr>
      <t xml:space="preserve">3.205 × 3.900 = 12.499  -0.210&lt;</t>
    </r>
    <r>
      <rPr>
        <sz val="11"/>
        <rFont val="Noto Sans CJK SC"/>
        <family val="2"/>
      </rPr>
      <t xml:space="preserve">공제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No.9&gt;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</si>
  <si>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No.9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</si>
  <si>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2F </t>
    </r>
    <r>
      <rPr>
        <b val="true"/>
        <sz val="11"/>
        <rFont val="Noto Sans CJK SC"/>
        <family val="2"/>
      </rPr>
      <t xml:space="preserve">소회의실</t>
    </r>
    <r>
      <rPr>
        <b val="true"/>
        <sz val="11"/>
        <rFont val="Arial"/>
        <family val="0"/>
        <charset val="1"/>
      </rPr>
      <t xml:space="preserve">-2</t>
    </r>
  </si>
  <si>
    <t xml:space="preserve">3.203 × 3.900 = 12.492</t>
  </si>
  <si>
    <t xml:space="preserve">2 × (3.203 + 3.900)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</si>
  <si>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No.10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</si>
  <si>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2F </t>
    </r>
    <r>
      <rPr>
        <b val="true"/>
        <sz val="11"/>
        <rFont val="Noto Sans CJK SC"/>
        <family val="2"/>
      </rPr>
      <t xml:space="preserve">소회의실</t>
    </r>
    <r>
      <rPr>
        <b val="true"/>
        <sz val="11"/>
        <rFont val="Arial"/>
        <family val="0"/>
        <charset val="1"/>
      </rPr>
      <t xml:space="preserve">-3</t>
    </r>
  </si>
  <si>
    <r>
      <rPr>
        <sz val="11"/>
        <rFont val="Arial"/>
        <family val="0"/>
        <charset val="1"/>
      </rPr>
      <t xml:space="preserve">3.203 × 3.900 = 12.492  -0.212&lt;</t>
    </r>
    <r>
      <rPr>
        <sz val="11"/>
        <rFont val="Noto Sans CJK SC"/>
        <family val="2"/>
      </rPr>
      <t xml:space="preserve">공제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No.11&gt;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</si>
  <si>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No.11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</si>
  <si>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2F </t>
    </r>
    <r>
      <rPr>
        <b val="true"/>
        <sz val="11"/>
        <rFont val="Noto Sans CJK SC"/>
        <family val="2"/>
      </rPr>
      <t xml:space="preserve">금고</t>
    </r>
  </si>
  <si>
    <t xml:space="preserve">1.673 × 3.290 = 5.504</t>
  </si>
  <si>
    <t xml:space="preserve">2 × (1.673 + 3.290)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</si>
  <si>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No.12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</si>
  <si>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2F O.A RM (</t>
    </r>
    <r>
      <rPr>
        <b val="true"/>
        <sz val="11"/>
        <rFont val="Noto Sans CJK SC"/>
        <family val="2"/>
      </rPr>
      <t xml:space="preserve">서측</t>
    </r>
    <r>
      <rPr>
        <b val="true"/>
        <sz val="11"/>
        <rFont val="Arial"/>
        <family val="0"/>
        <charset val="1"/>
      </rPr>
      <t xml:space="preserve">)</t>
    </r>
  </si>
  <si>
    <t xml:space="preserve">1.395 × 4.531 = 6.321</t>
  </si>
  <si>
    <t xml:space="preserve">2 × (1.395 + 4.531)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</si>
  <si>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No.13</t>
    </r>
  </si>
  <si>
    <r>
      <rPr>
        <sz val="11"/>
        <rFont val="Noto Sans CJK SC"/>
        <family val="2"/>
      </rPr>
      <t xml:space="preserve">비닐타일 깔기 </t>
    </r>
    <r>
      <rPr>
        <sz val="11"/>
        <rFont val="Arial"/>
        <family val="0"/>
        <charset val="1"/>
      </rPr>
      <t xml:space="preserve">[DT-02]</t>
    </r>
  </si>
  <si>
    <r>
      <rPr>
        <sz val="11"/>
        <rFont val="Noto Sans CJK SC"/>
        <family val="2"/>
      </rPr>
      <t xml:space="preserve">데코타일 </t>
    </r>
    <r>
      <rPr>
        <sz val="11"/>
        <rFont val="Arial"/>
        <family val="0"/>
        <charset val="1"/>
      </rPr>
      <t xml:space="preserve">457x914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</si>
  <si>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2F CORRIDOR </t>
    </r>
    <r>
      <rPr>
        <b val="true"/>
        <sz val="11"/>
        <rFont val="Noto Sans CJK SC"/>
        <family val="2"/>
      </rPr>
      <t xml:space="preserve">서측 </t>
    </r>
    <r>
      <rPr>
        <b val="true"/>
        <sz val="11"/>
        <rFont val="Arial"/>
        <family val="0"/>
        <charset val="1"/>
      </rPr>
      <t xml:space="preserve">(INFO~O.A </t>
    </r>
    <r>
      <rPr>
        <b val="true"/>
        <sz val="11"/>
        <rFont val="Noto Sans CJK SC"/>
        <family val="2"/>
      </rPr>
      <t xml:space="preserve">옆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</si>
  <si>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1.600 × 9.753 = 15.605  +1.865&lt;</t>
    </r>
    <r>
      <rPr>
        <sz val="11"/>
        <rFont val="Noto Sans CJK SC"/>
        <family val="2"/>
      </rPr>
      <t xml:space="preserve">가산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No.14&gt;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</si>
  <si>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No.14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</si>
  <si>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2F CORRIDOR </t>
    </r>
    <r>
      <rPr>
        <b val="true"/>
        <sz val="11"/>
        <rFont val="Noto Sans CJK SC"/>
        <family val="2"/>
      </rPr>
      <t xml:space="preserve">남측</t>
    </r>
  </si>
  <si>
    <t xml:space="preserve">12.410 × 2.000 = 24.820</t>
  </si>
  <si>
    <t xml:space="preserve">2 × (12.410 + 2.000)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</si>
  <si>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No.15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</si>
  <si>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2F CORRIDOR </t>
    </r>
    <r>
      <rPr>
        <b val="true"/>
        <sz val="11"/>
        <rFont val="Noto Sans CJK SC"/>
        <family val="2"/>
      </rPr>
      <t xml:space="preserve">동측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코어</t>
    </r>
    <r>
      <rPr>
        <b val="true"/>
        <sz val="11"/>
        <rFont val="Arial"/>
        <family val="0"/>
        <charset val="1"/>
      </rPr>
      <t xml:space="preserve">~</t>
    </r>
    <r>
      <rPr>
        <b val="true"/>
        <sz val="11"/>
        <rFont val="Noto Sans CJK SC"/>
        <family val="2"/>
      </rPr>
      <t xml:space="preserve">인권팀</t>
    </r>
    <r>
      <rPr>
        <b val="true"/>
        <sz val="11"/>
        <rFont val="Arial"/>
        <family val="0"/>
        <charset val="1"/>
      </rPr>
      <t xml:space="preserve">)</t>
    </r>
  </si>
  <si>
    <t xml:space="preserve">1.600 × 7.400 = 11.840</t>
  </si>
  <si>
    <t xml:space="preserve">2 × (1.600 + 7.400)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</si>
  <si>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No.16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</si>
  <si>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2F ELE'V HALL + </t>
    </r>
    <r>
      <rPr>
        <b val="true"/>
        <sz val="11"/>
        <rFont val="Noto Sans CJK SC"/>
        <family val="2"/>
      </rPr>
      <t xml:space="preserve">북측 홀</t>
    </r>
  </si>
  <si>
    <r>
      <rPr>
        <sz val="11"/>
        <rFont val="Arial"/>
        <family val="0"/>
        <charset val="1"/>
      </rPr>
      <t xml:space="preserve">27.710&lt;</t>
    </r>
    <r>
      <rPr>
        <sz val="11"/>
        <rFont val="Noto Sans CJK SC"/>
        <family val="2"/>
      </rPr>
      <t xml:space="preserve">열린 공간 구분구적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No.17&gt;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</si>
  <si>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No.17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</si>
  <si>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2F </t>
    </r>
    <r>
      <rPr>
        <b val="true"/>
        <sz val="11"/>
        <rFont val="Noto Sans CJK SC"/>
        <family val="2"/>
      </rPr>
      <t xml:space="preserve">인권팀</t>
    </r>
  </si>
  <si>
    <t xml:space="preserve">3.490 × 7.170 = 25.023</t>
  </si>
  <si>
    <t xml:space="preserve">2 × (3.490 + 7.170)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</si>
  <si>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No.18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</si>
  <si>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2F OFFICE (</t>
    </r>
    <r>
      <rPr>
        <b val="true"/>
        <sz val="11"/>
        <rFont val="Noto Sans CJK SC"/>
        <family val="2"/>
      </rPr>
      <t xml:space="preserve">서측</t>
    </r>
    <r>
      <rPr>
        <b val="true"/>
        <sz val="11"/>
        <rFont val="Arial"/>
        <family val="0"/>
        <charset val="1"/>
      </rPr>
      <t xml:space="preserve">, 03 DT)</t>
    </r>
  </si>
  <si>
    <r>
      <rPr>
        <sz val="11"/>
        <rFont val="Arial"/>
        <family val="0"/>
        <charset val="1"/>
      </rPr>
      <t xml:space="preserve">7.200 × 19.150 = 137.880  +25.050&lt;</t>
    </r>
    <r>
      <rPr>
        <sz val="11"/>
        <rFont val="Noto Sans CJK SC"/>
        <family val="2"/>
      </rPr>
      <t xml:space="preserve">가산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No.19&gt;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</si>
  <si>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No.19</t>
    </r>
  </si>
  <si>
    <r>
      <rPr>
        <sz val="11"/>
        <rFont val="Noto Sans CJK SC"/>
        <family val="2"/>
      </rPr>
      <t xml:space="preserve">비닐타일 깔기 </t>
    </r>
    <r>
      <rPr>
        <sz val="11"/>
        <rFont val="Arial"/>
        <family val="0"/>
        <charset val="1"/>
      </rPr>
      <t xml:space="preserve">[DT-03]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</si>
  <si>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2F OFFICE (</t>
    </r>
    <r>
      <rPr>
        <b val="true"/>
        <sz val="11"/>
        <rFont val="Noto Sans CJK SC"/>
        <family val="2"/>
      </rPr>
      <t xml:space="preserve">동측</t>
    </r>
    <r>
      <rPr>
        <b val="true"/>
        <sz val="11"/>
        <rFont val="Arial"/>
        <family val="0"/>
        <charset val="1"/>
      </rPr>
      <t xml:space="preserve">, 03 DT)</t>
    </r>
  </si>
  <si>
    <r>
      <rPr>
        <sz val="11"/>
        <rFont val="Arial"/>
        <family val="0"/>
        <charset val="1"/>
      </rPr>
      <t xml:space="preserve">7.178 × 19.150 = 137.459  +5.091&lt;</t>
    </r>
    <r>
      <rPr>
        <sz val="11"/>
        <rFont val="Noto Sans CJK SC"/>
        <family val="2"/>
      </rPr>
      <t xml:space="preserve">가산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No.20&gt;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</si>
  <si>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No.20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</si>
  <si>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</t>
    </r>
    <r>
      <rPr>
        <b val="true"/>
        <sz val="11"/>
        <rFont val="Noto Sans CJK SC"/>
        <family val="2"/>
      </rPr>
      <t xml:space="preserve">정책조정실</t>
    </r>
  </si>
  <si>
    <r>
      <rPr>
        <sz val="11"/>
        <rFont val="Arial"/>
        <family val="0"/>
        <charset val="1"/>
      </rPr>
      <t xml:space="preserve">5.250 × 4.890 = 25.672  +4.488&lt;</t>
    </r>
    <r>
      <rPr>
        <sz val="11"/>
        <rFont val="Noto Sans CJK SC"/>
        <family val="2"/>
      </rPr>
      <t xml:space="preserve">가산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No.21&gt;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</si>
  <si>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No.21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</si>
  <si>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</t>
    </r>
    <r>
      <rPr>
        <b val="true"/>
        <sz val="11"/>
        <rFont val="Noto Sans CJK SC"/>
        <family val="2"/>
      </rPr>
      <t xml:space="preserve">사무총장실</t>
    </r>
  </si>
  <si>
    <t xml:space="preserve">5.600 × 3.660 = 20.496</t>
  </si>
  <si>
    <t xml:space="preserve">2 × (5.600 + 3.660)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</si>
  <si>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No.22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</si>
  <si>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</t>
    </r>
    <r>
      <rPr>
        <b val="true"/>
        <sz val="11"/>
        <rFont val="Noto Sans CJK SC"/>
        <family val="2"/>
      </rPr>
      <t xml:space="preserve">사무국장실</t>
    </r>
  </si>
  <si>
    <r>
      <rPr>
        <sz val="11"/>
        <rFont val="Arial"/>
        <family val="0"/>
        <charset val="1"/>
      </rPr>
      <t xml:space="preserve">3.384 × 4.445 = 15.042  -0.212&lt;</t>
    </r>
    <r>
      <rPr>
        <sz val="11"/>
        <rFont val="Noto Sans CJK SC"/>
        <family val="2"/>
      </rPr>
      <t xml:space="preserve">공제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No.23&gt;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</si>
  <si>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No.23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</si>
  <si>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</t>
    </r>
    <r>
      <rPr>
        <b val="true"/>
        <sz val="11"/>
        <rFont val="Noto Sans CJK SC"/>
        <family val="2"/>
      </rPr>
      <t xml:space="preserve">중회의실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임원휴게실</t>
    </r>
    <r>
      <rPr>
        <b val="true"/>
        <sz val="11"/>
        <rFont val="Arial"/>
        <family val="0"/>
        <charset val="1"/>
      </rPr>
      <t xml:space="preserve">)</t>
    </r>
  </si>
  <si>
    <t xml:space="preserve">3.198 × 4.445 = 14.215</t>
  </si>
  <si>
    <t xml:space="preserve">2 × (3.198 + 4.445)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</si>
  <si>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No.24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</si>
  <si>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</t>
    </r>
    <r>
      <rPr>
        <b val="true"/>
        <sz val="11"/>
        <rFont val="Noto Sans CJK SC"/>
        <family val="2"/>
      </rPr>
      <t xml:space="preserve">중회의실</t>
    </r>
    <r>
      <rPr>
        <b val="true"/>
        <sz val="11"/>
        <rFont val="Arial"/>
        <family val="0"/>
        <charset val="1"/>
      </rPr>
      <t xml:space="preserve">-1</t>
    </r>
  </si>
  <si>
    <r>
      <rPr>
        <sz val="11"/>
        <rFont val="Arial"/>
        <family val="0"/>
        <charset val="1"/>
      </rPr>
      <t xml:space="preserve">3.198 × 4.445 = 14.215  -0.205&lt;</t>
    </r>
    <r>
      <rPr>
        <sz val="11"/>
        <rFont val="Noto Sans CJK SC"/>
        <family val="2"/>
      </rPr>
      <t xml:space="preserve">공제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No.25&gt;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</si>
  <si>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No.25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</si>
  <si>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</t>
    </r>
    <r>
      <rPr>
        <b val="true"/>
        <sz val="11"/>
        <rFont val="Noto Sans CJK SC"/>
        <family val="2"/>
      </rPr>
      <t xml:space="preserve">대회의실</t>
    </r>
  </si>
  <si>
    <t xml:space="preserve">5.098 × 4.445 = 22.661</t>
  </si>
  <si>
    <t xml:space="preserve">2 × (5.098 + 4.445)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</si>
  <si>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No.26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</si>
  <si>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</t>
    </r>
    <r>
      <rPr>
        <b val="true"/>
        <sz val="11"/>
        <rFont val="Noto Sans CJK SC"/>
        <family val="2"/>
      </rPr>
      <t xml:space="preserve">접견실</t>
    </r>
  </si>
  <si>
    <r>
      <rPr>
        <sz val="11"/>
        <rFont val="Arial"/>
        <family val="0"/>
        <charset val="1"/>
      </rPr>
      <t xml:space="preserve">5.145 × 6.900 = 35.501  +6.549&lt;</t>
    </r>
    <r>
      <rPr>
        <sz val="11"/>
        <rFont val="Noto Sans CJK SC"/>
        <family val="2"/>
      </rPr>
      <t xml:space="preserve">가산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No.27&gt;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</si>
  <si>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No.27</t>
    </r>
  </si>
  <si>
    <r>
      <rPr>
        <sz val="11"/>
        <rFont val="Noto Sans CJK SC"/>
        <family val="2"/>
      </rPr>
      <t xml:space="preserve">타일카펫 깔기 </t>
    </r>
    <r>
      <rPr>
        <sz val="11"/>
        <rFont val="Arial"/>
        <family val="0"/>
        <charset val="1"/>
      </rPr>
      <t xml:space="preserve">[CT-03]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</si>
  <si>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</t>
    </r>
    <r>
      <rPr>
        <b val="true"/>
        <sz val="11"/>
        <rFont val="Noto Sans CJK SC"/>
        <family val="2"/>
      </rPr>
      <t xml:space="preserve">협회장실</t>
    </r>
  </si>
  <si>
    <r>
      <rPr>
        <sz val="11"/>
        <rFont val="Arial"/>
        <family val="0"/>
        <charset val="1"/>
      </rPr>
      <t xml:space="preserve">5.145 × 4.700 = 24.181  +11.798&lt;</t>
    </r>
    <r>
      <rPr>
        <sz val="11"/>
        <rFont val="Noto Sans CJK SC"/>
        <family val="2"/>
      </rPr>
      <t xml:space="preserve">가산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No.28&gt;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</si>
  <si>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No.28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</si>
  <si>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</t>
    </r>
    <r>
      <rPr>
        <b val="true"/>
        <sz val="11"/>
        <rFont val="Noto Sans CJK SC"/>
        <family val="2"/>
      </rPr>
      <t xml:space="preserve">창고</t>
    </r>
  </si>
  <si>
    <r>
      <rPr>
        <sz val="11"/>
        <rFont val="Arial"/>
        <family val="0"/>
        <charset val="1"/>
      </rPr>
      <t xml:space="preserve">2.180 × 4.230 = 9.221  -0.171&lt;</t>
    </r>
    <r>
      <rPr>
        <sz val="11"/>
        <rFont val="Noto Sans CJK SC"/>
        <family val="2"/>
      </rPr>
      <t xml:space="preserve">공제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No.29&gt;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</si>
  <si>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No.29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</si>
  <si>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</t>
    </r>
    <r>
      <rPr>
        <b val="true"/>
        <sz val="11"/>
        <rFont val="Noto Sans CJK SC"/>
        <family val="2"/>
      </rPr>
      <t xml:space="preserve">비서</t>
    </r>
  </si>
  <si>
    <t xml:space="preserve">4.440 × 2.295 = 10.190</t>
  </si>
  <si>
    <t xml:space="preserve">2 × (4.440 + 2.295)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</si>
  <si>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No.30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</si>
  <si>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LOUNGE</t>
    </r>
  </si>
  <si>
    <t xml:space="preserve">5.740 × 9.250 = 53.095</t>
  </si>
  <si>
    <t xml:space="preserve">2 × (5.740 + 9.250)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</si>
  <si>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No.31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</si>
  <si>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CORRIDOR </t>
    </r>
    <r>
      <rPr>
        <b val="true"/>
        <sz val="11"/>
        <rFont val="Noto Sans CJK SC"/>
        <family val="2"/>
      </rPr>
      <t xml:space="preserve">남측</t>
    </r>
  </si>
  <si>
    <t xml:space="preserve">17.080 × 2.000 = 34.160</t>
  </si>
  <si>
    <t xml:space="preserve">2 × (17.080 + 2.000)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</si>
  <si>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No.32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</si>
  <si>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CORRIDOR </t>
    </r>
    <r>
      <rPr>
        <b val="true"/>
        <sz val="11"/>
        <rFont val="Noto Sans CJK SC"/>
        <family val="2"/>
      </rPr>
      <t xml:space="preserve">동측</t>
    </r>
  </si>
  <si>
    <t xml:space="preserve">2.000 × 7.230 = 14.460</t>
  </si>
  <si>
    <t xml:space="preserve">2 × (2.000 + 7.230)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</si>
  <si>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No.33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</si>
  <si>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CORRIDOR </t>
    </r>
    <r>
      <rPr>
        <b val="true"/>
        <sz val="11"/>
        <rFont val="Noto Sans CJK SC"/>
        <family val="2"/>
      </rPr>
      <t xml:space="preserve">북측</t>
    </r>
  </si>
  <si>
    <t xml:space="preserve">3.680 × 1.815 = 6.679</t>
  </si>
  <si>
    <t xml:space="preserve">2 × (3.680 + 1.815)</t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</si>
  <si>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No.34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</si>
  <si>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ELE'V HALL</t>
    </r>
  </si>
  <si>
    <r>
      <rPr>
        <sz val="11"/>
        <rFont val="Arial"/>
        <family val="0"/>
        <charset val="1"/>
      </rPr>
      <t xml:space="preserve">16.360&lt;</t>
    </r>
    <r>
      <rPr>
        <sz val="11"/>
        <rFont val="Noto Sans CJK SC"/>
        <family val="2"/>
      </rPr>
      <t xml:space="preserve">열린 공간 구분구적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No.35&gt;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</si>
  <si>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No.35</t>
    </r>
  </si>
  <si>
    <r>
      <rPr>
        <b val="true"/>
        <sz val="11"/>
        <rFont val="Noto Sans CJK SC"/>
        <family val="2"/>
      </rPr>
      <t xml:space="preserve">실명 </t>
    </r>
    <r>
      <rPr>
        <b val="true"/>
        <sz val="11"/>
        <rFont val="Arial"/>
        <family val="0"/>
        <charset val="1"/>
      </rPr>
      <t xml:space="preserve">: 3F OFFICE (</t>
    </r>
    <r>
      <rPr>
        <b val="true"/>
        <sz val="11"/>
        <rFont val="Noto Sans CJK SC"/>
        <family val="2"/>
      </rPr>
      <t xml:space="preserve">동측 공보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총무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입법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법제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공제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</si>
  <si>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129.050&lt;</t>
    </r>
    <r>
      <rPr>
        <sz val="11"/>
        <rFont val="Noto Sans CJK SC"/>
        <family val="2"/>
      </rPr>
      <t xml:space="preserve">열린 공간 구분구적 </t>
    </r>
    <r>
      <rPr>
        <sz val="11"/>
        <rFont val="Arial"/>
        <family val="0"/>
        <charset val="1"/>
      </rPr>
      <t xml:space="preserve">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No.36&gt;</t>
    </r>
  </si>
  <si>
    <r>
      <rPr>
        <sz val="11"/>
        <rFont val="Noto Sans CJK SC"/>
        <family val="2"/>
      </rPr>
      <t xml:space="preserve">둘레 − 개구부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산출근거서 </t>
    </r>
    <r>
      <rPr>
        <sz val="11"/>
        <rFont val="Arial"/>
        <family val="0"/>
        <charset val="1"/>
      </rPr>
      <t xml:space="preserve">No.36</t>
    </r>
  </si>
  <si>
    <r>
      <rPr>
        <b val="true"/>
        <sz val="13"/>
        <rFont val="Noto Sans CJK SC"/>
        <family val="2"/>
      </rPr>
      <t xml:space="preserve">산출근거서 </t>
    </r>
    <r>
      <rPr>
        <b val="true"/>
        <sz val="13"/>
        <rFont val="Arial"/>
        <family val="0"/>
        <charset val="1"/>
      </rPr>
      <t xml:space="preserve">- </t>
    </r>
    <r>
      <rPr>
        <b val="true"/>
        <sz val="13"/>
        <rFont val="Noto Sans CJK SC"/>
        <family val="2"/>
      </rPr>
      <t xml:space="preserve">대한변호사협회 신회관 인테리어 공사 </t>
    </r>
    <r>
      <rPr>
        <b val="true"/>
        <sz val="13"/>
        <rFont val="Arial"/>
        <family val="0"/>
        <charset val="1"/>
      </rPr>
      <t xml:space="preserve">/ </t>
    </r>
    <r>
      <rPr>
        <b val="true"/>
        <sz val="13"/>
        <rFont val="Noto Sans CJK SC"/>
        <family val="2"/>
      </rPr>
      <t xml:space="preserve">바닥 마감 </t>
    </r>
    <r>
      <rPr>
        <b val="true"/>
        <sz val="13"/>
        <rFont val="Arial"/>
        <family val="0"/>
        <charset val="1"/>
      </rPr>
      <t xml:space="preserve">(AI </t>
    </r>
    <r>
      <rPr>
        <b val="true"/>
        <sz val="13"/>
        <rFont val="Noto Sans CJK SC"/>
        <family val="2"/>
      </rPr>
      <t xml:space="preserve">산출 </t>
    </r>
    <r>
      <rPr>
        <b val="true"/>
        <sz val="13"/>
        <rFont val="Arial"/>
        <family val="0"/>
        <charset val="1"/>
      </rPr>
      <t xml:space="preserve">v6)</t>
    </r>
  </si>
  <si>
    <r>
      <rPr>
        <i val="true"/>
        <sz val="11"/>
        <color rgb="FF666666"/>
        <rFont val="Noto Sans CJK SC"/>
        <family val="2"/>
      </rPr>
      <t xml:space="preserve">파란 글씨 </t>
    </r>
    <r>
      <rPr>
        <i val="true"/>
        <sz val="11"/>
        <color rgb="FF666666"/>
        <rFont val="Arial"/>
        <family val="0"/>
        <charset val="1"/>
      </rPr>
      <t xml:space="preserve">= AI</t>
    </r>
    <r>
      <rPr>
        <i val="true"/>
        <sz val="11"/>
        <color rgb="FF666666"/>
        <rFont val="Noto Sans CJK SC"/>
        <family val="2"/>
      </rPr>
      <t xml:space="preserve">가 도면에서 읽은 값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입력값</t>
    </r>
    <r>
      <rPr>
        <i val="true"/>
        <sz val="11"/>
        <color rgb="FF666666"/>
        <rFont val="Arial"/>
        <family val="0"/>
        <charset val="1"/>
      </rPr>
      <t xml:space="preserve">). </t>
    </r>
    <r>
      <rPr>
        <i val="true"/>
        <sz val="11"/>
        <color rgb="FF666666"/>
        <rFont val="Noto Sans CJK SC"/>
        <family val="2"/>
      </rPr>
      <t xml:space="preserve">오차 열은 수식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도면 기준 </t>
    </r>
    <r>
      <rPr>
        <i val="true"/>
        <sz val="11"/>
        <color rgb="FF666666"/>
        <rFont val="Arial"/>
        <family val="0"/>
        <charset val="1"/>
      </rPr>
      <t xml:space="preserve">= PDF </t>
    </r>
    <r>
      <rPr>
        <i val="true"/>
        <sz val="11"/>
        <color rgb="FF666666"/>
        <rFont val="Noto Sans CJK SC"/>
        <family val="2"/>
      </rPr>
      <t xml:space="preserve">벡터 정밀 측정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벽으로 닫힌 실만</t>
    </r>
    <r>
      <rPr>
        <i val="true"/>
        <sz val="11"/>
        <color rgb="FF666666"/>
        <rFont val="Arial"/>
        <family val="0"/>
        <charset val="1"/>
      </rPr>
      <t xml:space="preserve">).</t>
    </r>
  </si>
  <si>
    <t xml:space="preserve">No</t>
  </si>
  <si>
    <t xml:space="preserve">층</t>
  </si>
  <si>
    <t xml:space="preserve">실명</t>
  </si>
  <si>
    <t xml:space="preserve">마감코드</t>
  </si>
  <si>
    <r>
      <rPr>
        <b val="true"/>
        <sz val="11"/>
        <color rgb="FFFFFFFF"/>
        <rFont val="Noto Sans CJK SC"/>
        <family val="2"/>
      </rPr>
      <t xml:space="preserve">가로</t>
    </r>
    <r>
      <rPr>
        <b val="true"/>
        <sz val="11"/>
        <color rgb="FFFFFFFF"/>
        <rFont val="Arial"/>
        <family val="0"/>
        <charset val="1"/>
      </rPr>
      <t xml:space="preserve">(mm)</t>
    </r>
  </si>
  <si>
    <r>
      <rPr>
        <b val="true"/>
        <sz val="11"/>
        <color rgb="FFFFFFFF"/>
        <rFont val="Noto Sans CJK SC"/>
        <family val="2"/>
      </rPr>
      <t xml:space="preserve">세로</t>
    </r>
    <r>
      <rPr>
        <b val="true"/>
        <sz val="11"/>
        <color rgb="FFFFFFFF"/>
        <rFont val="Arial"/>
        <family val="0"/>
        <charset val="1"/>
      </rPr>
      <t xml:space="preserve">(mm)</t>
    </r>
  </si>
  <si>
    <r>
      <rPr>
        <b val="true"/>
        <sz val="11"/>
        <color rgb="FFFFFFFF"/>
        <rFont val="Noto Sans CJK SC"/>
        <family val="2"/>
      </rPr>
      <t xml:space="preserve">면적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㎡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</si>
  <si>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걸레받이</t>
    </r>
    <r>
      <rPr>
        <b val="true"/>
        <sz val="11"/>
        <color rgb="FFFFFFFF"/>
        <rFont val="Arial"/>
        <family val="0"/>
        <charset val="1"/>
      </rPr>
      <t xml:space="preserve">(m)</t>
    </r>
  </si>
  <si>
    <r>
      <rPr>
        <b val="true"/>
        <sz val="11"/>
        <color rgb="FFFFFFFF"/>
        <rFont val="Noto Sans CJK SC"/>
        <family val="2"/>
      </rPr>
      <t xml:space="preserve">산출 근거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도면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치수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</si>
  <si>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신뢰도</t>
  </si>
  <si>
    <t xml:space="preserve">검토 기록</t>
  </si>
  <si>
    <r>
      <rPr>
        <b val="true"/>
        <sz val="11"/>
        <color rgb="FFFFFFFF"/>
        <rFont val="Noto Sans CJK SC"/>
        <family val="2"/>
      </rPr>
      <t xml:space="preserve">도면 기준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㎡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</si>
  <si>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오차</t>
    </r>
    <r>
      <rPr>
        <b val="true"/>
        <sz val="11"/>
        <color rgb="FFFFFFFF"/>
        <rFont val="Arial"/>
        <family val="0"/>
        <charset val="1"/>
      </rPr>
      <t xml:space="preserve">(%)</t>
    </r>
  </si>
  <si>
    <t xml:space="preserve">B1</t>
  </si>
  <si>
    <t xml:space="preserve">다목적 대회의실</t>
  </si>
  <si>
    <t xml:space="preserve">CT-01</t>
  </si>
  <si>
    <r>
      <rPr>
        <sz val="11"/>
        <rFont val="Arial"/>
        <family val="0"/>
        <charset val="1"/>
      </rPr>
      <t xml:space="preserve">B1_dimension_SE: 11450(</t>
    </r>
    <r>
      <rPr>
        <sz val="11"/>
        <rFont val="Noto Sans CJK SC"/>
        <family val="2"/>
      </rPr>
      <t xml:space="preserve">안목 직전 성벽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동측벽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에서 신설 차음벽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점선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위치 </t>
    </r>
    <r>
      <rPr>
        <sz val="11"/>
        <rFont val="Arial"/>
        <family val="0"/>
        <charset val="1"/>
      </rPr>
      <t xml:space="preserve">offset 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290 </t>
    </r>
    <r>
      <rPr>
        <sz val="11"/>
        <rFont val="Noto Sans CJK SC"/>
        <family val="2"/>
      </rPr>
      <t xml:space="preserve">공제 </t>
    </r>
    <r>
      <rPr>
        <sz val="11"/>
        <rFont val="Arial"/>
        <family val="0"/>
        <charset val="1"/>
      </rPr>
      <t xml:space="preserve">=&gt; w=11160; B1_material_NE: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'12000' </t>
    </r>
    <r>
      <rPr>
        <sz val="11"/>
        <rFont val="Noto Sans CJK SC"/>
        <family val="2"/>
      </rPr>
      <t xml:space="preserve">숫자 사용 </t>
    </r>
    <r>
      <rPr>
        <sz val="11"/>
        <rFont val="Arial"/>
        <family val="0"/>
        <charset val="1"/>
      </rPr>
      <t xml:space="preserve">d=12000. 11.16x12.0=133.92. R2: </t>
    </r>
    <r>
      <rPr>
        <sz val="11"/>
        <rFont val="Noto Sans CJK SC"/>
        <family val="2"/>
      </rPr>
      <t xml:space="preserve">독립기둥 약</t>
    </r>
    <r>
      <rPr>
        <sz val="11"/>
        <rFont val="Arial"/>
        <family val="0"/>
        <charset val="1"/>
      </rPr>
      <t xml:space="preserve">0.77x0.58=0.45 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단상</t>
    </r>
    <r>
      <rPr>
        <sz val="11"/>
        <rFont val="Arial"/>
        <family val="0"/>
        <charset val="1"/>
      </rPr>
      <t xml:space="preserve">(APP' WOOD FLOORING, </t>
    </r>
    <r>
      <rPr>
        <sz val="11"/>
        <rFont val="Noto Sans CJK SC"/>
        <family val="2"/>
      </rPr>
      <t xml:space="preserve">카펫 아님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6.24x1.51=9.4(</t>
    </r>
    <r>
      <rPr>
        <sz val="11"/>
        <rFont val="Noto Sans CJK SC"/>
        <family val="2"/>
      </rPr>
      <t xml:space="preserve">도면 비례 추정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둘레</t>
    </r>
    <r>
      <rPr>
        <sz val="11"/>
        <rFont val="Arial"/>
        <family val="0"/>
        <charset val="1"/>
      </rPr>
      <t xml:space="preserve">46.32-</t>
    </r>
    <r>
      <rPr>
        <sz val="11"/>
        <rFont val="Noto Sans CJK SC"/>
        <family val="2"/>
      </rPr>
      <t xml:space="preserve">남측 쌍여닫이 </t>
    </r>
    <r>
      <rPr>
        <sz val="11"/>
        <rFont val="Arial"/>
        <family val="0"/>
        <charset val="1"/>
      </rPr>
      <t xml:space="preserve">1940(B1_dimension_SE '1940')-</t>
    </r>
    <r>
      <rPr>
        <sz val="11"/>
        <rFont val="Noto Sans CJK SC"/>
        <family val="2"/>
      </rPr>
      <t xml:space="preserve">서측문 </t>
    </r>
    <r>
      <rPr>
        <sz val="11"/>
        <rFont val="Arial"/>
        <family val="0"/>
        <charset val="1"/>
      </rPr>
      <t xml:space="preserve">0.9-0.98-</t>
    </r>
    <r>
      <rPr>
        <sz val="11"/>
        <rFont val="Noto Sans CJK SC"/>
        <family val="2"/>
      </rPr>
      <t xml:space="preserve">단상 정면 </t>
    </r>
    <r>
      <rPr>
        <sz val="11"/>
        <rFont val="Arial"/>
        <family val="0"/>
        <charset val="1"/>
      </rPr>
      <t xml:space="preserve">6.24=36.26 || [v5 </t>
    </r>
    <r>
      <rPr>
        <sz val="11"/>
        <rFont val="Noto Sans CJK SC"/>
        <family val="2"/>
      </rPr>
      <t xml:space="preserve">수정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둘레 </t>
    </r>
    <r>
      <rPr>
        <sz val="11"/>
        <rFont val="Arial"/>
        <family val="0"/>
        <charset val="1"/>
      </rPr>
      <t xml:space="preserve">2*(11.16+12.0)=46.32 - </t>
    </r>
    <r>
      <rPr>
        <sz val="11"/>
        <rFont val="Noto Sans CJK SC"/>
        <family val="2"/>
      </rPr>
      <t xml:space="preserve">남측 쌍여닫이 </t>
    </r>
    <r>
      <rPr>
        <sz val="11"/>
        <rFont val="Arial"/>
        <family val="0"/>
        <charset val="1"/>
      </rPr>
      <t xml:space="preserve">1.94 - </t>
    </r>
    <r>
      <rPr>
        <sz val="11"/>
        <rFont val="Noto Sans CJK SC"/>
        <family val="2"/>
      </rPr>
      <t xml:space="preserve">단상 정면 </t>
    </r>
    <r>
      <rPr>
        <sz val="11"/>
        <rFont val="Arial"/>
        <family val="0"/>
        <charset val="1"/>
      </rPr>
      <t xml:space="preserve">6.24 = 38.14. </t>
    </r>
    <r>
      <rPr>
        <sz val="11"/>
        <rFont val="Noto Sans CJK SC"/>
        <family val="2"/>
      </rPr>
      <t xml:space="preserve">서측 차음벽 문 공제 삭제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안목</t>
    </r>
    <r>
      <rPr>
        <sz val="11"/>
        <rFont val="Arial"/>
        <family val="0"/>
        <charset val="1"/>
      </rPr>
      <t xml:space="preserve">: 11450(</t>
    </r>
    <r>
      <rPr>
        <sz val="11"/>
        <rFont val="Noto Sans CJK SC"/>
        <family val="2"/>
      </rPr>
      <t xml:space="preserve">코어벽</t>
    </r>
    <r>
      <rPr>
        <sz val="11"/>
        <rFont val="Arial"/>
        <family val="0"/>
        <charset val="1"/>
      </rPr>
      <t xml:space="preserve">~D.A</t>
    </r>
    <r>
      <rPr>
        <sz val="11"/>
        <rFont val="Noto Sans CJK SC"/>
        <family val="2"/>
      </rPr>
      <t xml:space="preserve">벽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에서 차음벽 점선 </t>
    </r>
    <r>
      <rPr>
        <sz val="11"/>
        <rFont val="Arial"/>
        <family val="0"/>
        <charset val="1"/>
      </rPr>
      <t xml:space="preserve">offset 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240~290 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(R1)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v4 </t>
    </r>
    <r>
      <rPr>
        <sz val="11"/>
        <rFont val="Noto Sans CJK SC"/>
        <family val="2"/>
      </rPr>
      <t xml:space="preserve">유지</t>
    </r>
    <r>
      <rPr>
        <sz val="11"/>
        <rFont val="Arial"/>
        <family val="0"/>
        <charset val="1"/>
      </rPr>
      <t xml:space="preserve">.</t>
    </r>
  </si>
  <si>
    <t xml:space="preserve">mid</t>
  </si>
  <si>
    <r>
      <rPr>
        <sz val="11"/>
        <rFont val="Noto Sans CJK SC"/>
        <family val="2"/>
      </rPr>
      <t xml:space="preserve">걸레받이 수정 </t>
    </r>
    <r>
      <rPr>
        <sz val="11"/>
        <rFont val="Arial"/>
        <family val="0"/>
        <charset val="1"/>
      </rPr>
      <t xml:space="preserve">36.26-&gt;38.14,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124.11-&gt;124.05. v4</t>
    </r>
    <r>
      <rPr>
        <sz val="11"/>
        <rFont val="Noto Sans CJK SC"/>
        <family val="2"/>
      </rPr>
      <t xml:space="preserve">가 서측 문 </t>
    </r>
    <r>
      <rPr>
        <sz val="11"/>
        <rFont val="Arial"/>
        <family val="0"/>
        <charset val="1"/>
      </rPr>
      <t xml:space="preserve">0.9+0.98</t>
    </r>
    <r>
      <rPr>
        <sz val="11"/>
        <rFont val="Noto Sans CJK SC"/>
        <family val="2"/>
      </rPr>
      <t xml:space="preserve">을 공제했으나 그 문들은 </t>
    </r>
    <r>
      <rPr>
        <sz val="11"/>
        <rFont val="Arial"/>
        <family val="0"/>
        <charset val="1"/>
      </rPr>
      <t xml:space="preserve">B1_material_NE </t>
    </r>
    <r>
      <rPr>
        <sz val="11"/>
        <rFont val="Noto Sans CJK SC"/>
        <family val="2"/>
      </rPr>
      <t xml:space="preserve">의 법률구조재단</t>
    </r>
    <r>
      <rPr>
        <sz val="11"/>
        <rFont val="Arial"/>
        <family val="0"/>
        <charset val="1"/>
      </rPr>
      <t xml:space="preserve">/ELE'V HALL </t>
    </r>
    <r>
      <rPr>
        <sz val="11"/>
        <rFont val="Noto Sans CJK SC"/>
        <family val="2"/>
      </rPr>
      <t xml:space="preserve">쪽 문이고 대회의실 서측 차음벽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점선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에는 문이 없음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대회의실 출입문은 남측 쌍여닫이 </t>
    </r>
    <r>
      <rPr>
        <sz val="11"/>
        <rFont val="Arial"/>
        <family val="0"/>
        <charset val="1"/>
      </rPr>
      <t xml:space="preserve">1940 </t>
    </r>
    <r>
      <rPr>
        <sz val="11"/>
        <rFont val="Noto Sans CJK SC"/>
        <family val="2"/>
      </rPr>
      <t xml:space="preserve">하나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면적은 </t>
    </r>
    <r>
      <rPr>
        <sz val="11"/>
        <rFont val="Arial"/>
        <family val="0"/>
        <charset val="1"/>
      </rPr>
      <t xml:space="preserve">11.16x12.0-</t>
    </r>
    <r>
      <rPr>
        <sz val="11"/>
        <rFont val="Noto Sans CJK SC"/>
        <family val="2"/>
      </rPr>
      <t xml:space="preserve">기둥</t>
    </r>
    <r>
      <rPr>
        <sz val="11"/>
        <rFont val="Arial"/>
        <family val="0"/>
        <charset val="1"/>
      </rPr>
      <t xml:space="preserve">0.45-</t>
    </r>
    <r>
      <rPr>
        <sz val="11"/>
        <rFont val="Noto Sans CJK SC"/>
        <family val="2"/>
      </rPr>
      <t xml:space="preserve">단상 </t>
    </r>
    <r>
      <rPr>
        <sz val="11"/>
        <rFont val="Arial"/>
        <family val="0"/>
        <charset val="1"/>
      </rPr>
      <t xml:space="preserve">6.24x1.51(9.42)=124.05</t>
    </r>
    <r>
      <rPr>
        <sz val="11"/>
        <rFont val="Noto Sans CJK SC"/>
        <family val="2"/>
      </rPr>
      <t xml:space="preserve">로 재계산</t>
    </r>
    <r>
      <rPr>
        <sz val="11"/>
        <rFont val="Arial"/>
        <family val="0"/>
        <charset val="1"/>
      </rPr>
      <t xml:space="preserve">. | v6: B1</t>
    </r>
    <r>
      <rPr>
        <sz val="11"/>
        <rFont val="Noto Sans CJK SC"/>
        <family val="2"/>
      </rPr>
      <t xml:space="preserve">은 창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커튼월 접면 없음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동측 </t>
    </r>
    <r>
      <rPr>
        <sz val="11"/>
        <rFont val="Arial"/>
        <family val="0"/>
        <charset val="1"/>
      </rPr>
      <t xml:space="preserve">D.A</t>
    </r>
    <r>
      <rPr>
        <sz val="11"/>
        <rFont val="Noto Sans CJK SC"/>
        <family val="2"/>
      </rPr>
      <t xml:space="preserve">는 벽 바깥 선큰</t>
    </r>
    <r>
      <rPr>
        <sz val="11"/>
        <rFont val="Arial"/>
        <family val="0"/>
        <charset val="1"/>
      </rPr>
      <t xml:space="preserve">, 11450 </t>
    </r>
    <r>
      <rPr>
        <sz val="11"/>
        <rFont val="Noto Sans CJK SC"/>
        <family val="2"/>
      </rPr>
      <t xml:space="preserve">치수가 벽 안쪽까지</t>
    </r>
    <r>
      <rPr>
        <sz val="11"/>
        <rFont val="Arial"/>
        <family val="0"/>
        <charset val="1"/>
      </rPr>
      <t xml:space="preserve">) -&gt; </t>
    </r>
    <r>
      <rPr>
        <sz val="11"/>
        <rFont val="Noto Sans CJK SC"/>
        <family val="2"/>
      </rPr>
      <t xml:space="preserve">띠 없음</t>
    </r>
    <r>
      <rPr>
        <sz val="11"/>
        <rFont val="Arial"/>
        <family val="0"/>
        <charset val="1"/>
      </rPr>
      <t xml:space="preserve">, v5 </t>
    </r>
    <r>
      <rPr>
        <sz val="11"/>
        <rFont val="Noto Sans CJK SC"/>
        <family val="2"/>
      </rPr>
      <t xml:space="preserve">유지</t>
    </r>
  </si>
  <si>
    <t xml:space="preserve">서고</t>
  </si>
  <si>
    <t xml:space="preserve">DE-01</t>
  </si>
  <si>
    <r>
      <rPr>
        <sz val="11"/>
        <rFont val="Arial"/>
        <family val="0"/>
        <charset val="1"/>
      </rPr>
      <t xml:space="preserve">B1_dimension_NW: </t>
    </r>
    <r>
      <rPr>
        <sz val="11"/>
        <rFont val="Noto Sans CJK SC"/>
        <family val="2"/>
      </rPr>
      <t xml:space="preserve">서고 실치수 숫자 없음 </t>
    </r>
    <r>
      <rPr>
        <sz val="11"/>
        <rFont val="Arial"/>
        <family val="0"/>
        <charset val="1"/>
      </rPr>
      <t xml:space="preserve">-&gt; grid 7800(1</t>
    </r>
    <r>
      <rPr>
        <sz val="11"/>
        <rFont val="Noto Sans CJK SC"/>
        <family val="2"/>
      </rPr>
      <t xml:space="preserve">열</t>
    </r>
    <r>
      <rPr>
        <sz val="11"/>
        <rFont val="Arial"/>
        <family val="0"/>
        <charset val="1"/>
      </rPr>
      <t xml:space="preserve">~2</t>
    </r>
    <r>
      <rPr>
        <sz val="11"/>
        <rFont val="Noto Sans CJK SC"/>
        <family val="2"/>
      </rPr>
      <t xml:space="preserve">열 사이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사용</t>
    </r>
    <r>
      <rPr>
        <sz val="11"/>
        <rFont val="Arial"/>
        <family val="0"/>
        <charset val="1"/>
      </rPr>
      <t xml:space="preserve">. R1: </t>
    </r>
    <r>
      <rPr>
        <sz val="11"/>
        <rFont val="Noto Sans CJK SC"/>
        <family val="2"/>
      </rPr>
      <t xml:space="preserve">좌측 외벽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마감 약</t>
    </r>
    <r>
      <rPr>
        <sz val="11"/>
        <rFont val="Arial"/>
        <family val="0"/>
        <charset val="1"/>
      </rPr>
      <t xml:space="preserve">460, </t>
    </r>
    <r>
      <rPr>
        <sz val="11"/>
        <rFont val="Noto Sans CJK SC"/>
        <family val="2"/>
      </rPr>
      <t xml:space="preserve">우측 </t>
    </r>
    <r>
      <rPr>
        <sz val="11"/>
        <rFont val="Arial"/>
        <family val="0"/>
        <charset val="1"/>
      </rPr>
      <t xml:space="preserve">CAR LIFT</t>
    </r>
    <r>
      <rPr>
        <sz val="11"/>
        <rFont val="Noto Sans CJK SC"/>
        <family val="2"/>
      </rPr>
      <t xml:space="preserve">벽 약</t>
    </r>
    <r>
      <rPr>
        <sz val="11"/>
        <rFont val="Arial"/>
        <family val="0"/>
        <charset val="1"/>
      </rPr>
      <t xml:space="preserve">410 </t>
    </r>
    <r>
      <rPr>
        <sz val="11"/>
        <rFont val="Noto Sans CJK SC"/>
        <family val="2"/>
      </rPr>
      <t xml:space="preserve">공제 </t>
    </r>
    <r>
      <rPr>
        <sz val="11"/>
        <rFont val="Arial"/>
        <family val="0"/>
        <charset val="1"/>
      </rPr>
      <t xml:space="preserve">=&gt; w=7800-460-410=6930. </t>
    </r>
    <r>
      <rPr>
        <sz val="11"/>
        <rFont val="Noto Sans CJK SC"/>
        <family val="2"/>
      </rPr>
      <t xml:space="preserve">깊이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상부 그리드</t>
    </r>
    <r>
      <rPr>
        <sz val="11"/>
        <rFont val="Arial"/>
        <family val="0"/>
        <charset val="1"/>
      </rPr>
      <t xml:space="preserve">(0)~</t>
    </r>
    <r>
      <rPr>
        <sz val="11"/>
        <rFont val="Noto Sans CJK SC"/>
        <family val="2"/>
      </rPr>
      <t xml:space="preserve">방송실 칸막이 중심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5020, 7300 </t>
    </r>
    <r>
      <rPr>
        <sz val="11"/>
        <rFont val="Noto Sans CJK SC"/>
        <family val="2"/>
      </rPr>
      <t xml:space="preserve">그리드 비례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상부벽 </t>
    </r>
    <r>
      <rPr>
        <sz val="11"/>
        <rFont val="Arial"/>
        <family val="0"/>
        <charset val="1"/>
      </rPr>
      <t xml:space="preserve">400 - </t>
    </r>
    <r>
      <rPr>
        <sz val="11"/>
        <rFont val="Noto Sans CJK SC"/>
        <family val="2"/>
      </rPr>
      <t xml:space="preserve">칸막이 반두께</t>
    </r>
    <r>
      <rPr>
        <sz val="11"/>
        <rFont val="Arial"/>
        <family val="0"/>
        <charset val="1"/>
      </rPr>
      <t xml:space="preserve">100 = 4560. </t>
    </r>
    <r>
      <rPr>
        <sz val="11"/>
        <rFont val="Noto Sans CJK SC"/>
        <family val="2"/>
      </rPr>
      <t xml:space="preserve">방송실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무코드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제외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동쪽 </t>
    </r>
    <r>
      <rPr>
        <sz val="11"/>
        <rFont val="Arial"/>
        <family val="0"/>
        <charset val="1"/>
      </rPr>
      <t xml:space="preserve">L</t>
    </r>
    <r>
      <rPr>
        <sz val="11"/>
        <rFont val="Noto Sans CJK SC"/>
        <family val="2"/>
      </rPr>
      <t xml:space="preserve">형 연장부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 있는 통로</t>
    </r>
    <r>
      <rPr>
        <sz val="11"/>
        <rFont val="Arial"/>
        <family val="0"/>
        <charset val="1"/>
      </rPr>
      <t xml:space="preserve">) 1.7x2.25 </t>
    </r>
    <r>
      <rPr>
        <sz val="11"/>
        <rFont val="Noto Sans CJK SC"/>
        <family val="2"/>
      </rPr>
      <t xml:space="preserve">가산 </t>
    </r>
    <r>
      <rPr>
        <sz val="11"/>
        <rFont val="Arial"/>
        <family val="0"/>
        <charset val="1"/>
      </rPr>
      <t xml:space="preserve">= 31.61+3.83=35.44. 6.93x4.56. </t>
    </r>
    <r>
      <rPr>
        <sz val="11"/>
        <rFont val="Noto Sans CJK SC"/>
        <family val="2"/>
      </rPr>
      <t xml:space="preserve">칸막이 위치는 도면 비례 추정이라 정확도 낮음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외곽 약</t>
    </r>
    <r>
      <rPr>
        <sz val="11"/>
        <rFont val="Arial"/>
        <family val="0"/>
        <charset val="1"/>
      </rPr>
      <t xml:space="preserve">28.0-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방송실 문</t>
    </r>
    <r>
      <rPr>
        <sz val="11"/>
        <rFont val="Arial"/>
        <family val="0"/>
        <charset val="1"/>
      </rPr>
      <t xml:space="preserve">1.0+</t>
    </r>
    <r>
      <rPr>
        <sz val="11"/>
        <rFont val="Noto Sans CJK SC"/>
        <family val="2"/>
      </rPr>
      <t xml:space="preserve">하부 출입문</t>
    </r>
    <r>
      <rPr>
        <sz val="11"/>
        <rFont val="Arial"/>
        <family val="0"/>
        <charset val="1"/>
      </rPr>
      <t xml:space="preserve">1.2)=25.5</t>
    </r>
  </si>
  <si>
    <t xml:space="preserve">low</t>
  </si>
  <si>
    <r>
      <rPr>
        <sz val="11"/>
        <rFont val="Arial"/>
        <family val="0"/>
        <charset val="1"/>
      </rPr>
      <t xml:space="preserve">ok (</t>
    </r>
    <r>
      <rPr>
        <sz val="11"/>
        <rFont val="Noto Sans CJK SC"/>
        <family val="2"/>
      </rPr>
      <t xml:space="preserve">도면 재확인</t>
    </r>
    <r>
      <rPr>
        <sz val="11"/>
        <rFont val="Arial"/>
        <family val="0"/>
        <charset val="1"/>
      </rPr>
      <t xml:space="preserve">: 6930x4560 + </t>
    </r>
    <r>
      <rPr>
        <sz val="11"/>
        <rFont val="Noto Sans CJK SC"/>
        <family val="2"/>
      </rPr>
      <t xml:space="preserve">방송실 동측 통로 </t>
    </r>
    <r>
      <rPr>
        <sz val="11"/>
        <rFont val="Arial"/>
        <family val="0"/>
        <charset val="1"/>
      </rPr>
      <t xml:space="preserve">L</t>
    </r>
    <r>
      <rPr>
        <sz val="11"/>
        <rFont val="Noto Sans CJK SC"/>
        <family val="2"/>
      </rPr>
      <t xml:space="preserve">부 유지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칸막이 위치는 도면 비례라 </t>
    </r>
    <r>
      <rPr>
        <sz val="11"/>
        <rFont val="Arial"/>
        <family val="0"/>
        <charset val="1"/>
      </rPr>
      <t xml:space="preserve">low </t>
    </r>
    <r>
      <rPr>
        <sz val="11"/>
        <rFont val="Noto Sans CJK SC"/>
        <family val="2"/>
      </rPr>
      <t xml:space="preserve">유지</t>
    </r>
    <r>
      <rPr>
        <sz val="11"/>
        <rFont val="Arial"/>
        <family val="0"/>
        <charset val="1"/>
      </rPr>
      <t xml:space="preserve">) | v6: B1</t>
    </r>
    <r>
      <rPr>
        <sz val="11"/>
        <rFont val="Noto Sans CJK SC"/>
        <family val="2"/>
      </rPr>
      <t xml:space="preserve">은 창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커튼월 접면 없음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동측 </t>
    </r>
    <r>
      <rPr>
        <sz val="11"/>
        <rFont val="Arial"/>
        <family val="0"/>
        <charset val="1"/>
      </rPr>
      <t xml:space="preserve">D.A</t>
    </r>
    <r>
      <rPr>
        <sz val="11"/>
        <rFont val="Noto Sans CJK SC"/>
        <family val="2"/>
      </rPr>
      <t xml:space="preserve">는 벽 바깥 선큰</t>
    </r>
    <r>
      <rPr>
        <sz val="11"/>
        <rFont val="Arial"/>
        <family val="0"/>
        <charset val="1"/>
      </rPr>
      <t xml:space="preserve">, 11450 </t>
    </r>
    <r>
      <rPr>
        <sz val="11"/>
        <rFont val="Noto Sans CJK SC"/>
        <family val="2"/>
      </rPr>
      <t xml:space="preserve">치수가 벽 안쪽까지</t>
    </r>
    <r>
      <rPr>
        <sz val="11"/>
        <rFont val="Arial"/>
        <family val="0"/>
        <charset val="1"/>
      </rPr>
      <t xml:space="preserve">) -&gt; </t>
    </r>
    <r>
      <rPr>
        <sz val="11"/>
        <rFont val="Noto Sans CJK SC"/>
        <family val="2"/>
      </rPr>
      <t xml:space="preserve">띠 없음</t>
    </r>
    <r>
      <rPr>
        <sz val="11"/>
        <rFont val="Arial"/>
        <family val="0"/>
        <charset val="1"/>
      </rPr>
      <t xml:space="preserve">, v5 </t>
    </r>
    <r>
      <rPr>
        <sz val="11"/>
        <rFont val="Noto Sans CJK SC"/>
        <family val="2"/>
      </rPr>
      <t xml:space="preserve">유지</t>
    </r>
  </si>
  <si>
    <t xml:space="preserve">기자실</t>
  </si>
  <si>
    <r>
      <rPr>
        <sz val="11"/>
        <rFont val="Arial"/>
        <family val="0"/>
        <charset val="1"/>
      </rPr>
      <t xml:space="preserve">B1_dimension_SE: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500+1000+2600=4100,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2950 </t>
    </r>
    <r>
      <rPr>
        <sz val="11"/>
        <rFont val="Noto Sans CJK SC"/>
        <family val="2"/>
      </rPr>
      <t xml:space="preserve">숫자</t>
    </r>
    <r>
      <rPr>
        <sz val="11"/>
        <rFont val="Arial"/>
        <family val="0"/>
        <charset val="1"/>
      </rPr>
      <t xml:space="preserve">. 4.1x2.95.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=2*(4.1+2.95)-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1000=13.1</t>
    </r>
  </si>
  <si>
    <t xml:space="preserve">high</t>
  </si>
  <si>
    <r>
      <rPr>
        <sz val="11"/>
        <rFont val="Arial"/>
        <family val="0"/>
        <charset val="1"/>
      </rPr>
      <t xml:space="preserve">ok | v6: B1</t>
    </r>
    <r>
      <rPr>
        <sz val="11"/>
        <rFont val="Noto Sans CJK SC"/>
        <family val="2"/>
      </rPr>
      <t xml:space="preserve">은 창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커튼월 접면 없음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동측 </t>
    </r>
    <r>
      <rPr>
        <sz val="11"/>
        <rFont val="Arial"/>
        <family val="0"/>
        <charset val="1"/>
      </rPr>
      <t xml:space="preserve">D.A</t>
    </r>
    <r>
      <rPr>
        <sz val="11"/>
        <rFont val="Noto Sans CJK SC"/>
        <family val="2"/>
      </rPr>
      <t xml:space="preserve">는 벽 바깥 선큰</t>
    </r>
    <r>
      <rPr>
        <sz val="11"/>
        <rFont val="Arial"/>
        <family val="0"/>
        <charset val="1"/>
      </rPr>
      <t xml:space="preserve">, 11450 </t>
    </r>
    <r>
      <rPr>
        <sz val="11"/>
        <rFont val="Noto Sans CJK SC"/>
        <family val="2"/>
      </rPr>
      <t xml:space="preserve">치수가 벽 안쪽까지</t>
    </r>
    <r>
      <rPr>
        <sz val="11"/>
        <rFont val="Arial"/>
        <family val="0"/>
        <charset val="1"/>
      </rPr>
      <t xml:space="preserve">) -&gt; </t>
    </r>
    <r>
      <rPr>
        <sz val="11"/>
        <rFont val="Noto Sans CJK SC"/>
        <family val="2"/>
      </rPr>
      <t xml:space="preserve">띠 없음</t>
    </r>
    <r>
      <rPr>
        <sz val="11"/>
        <rFont val="Arial"/>
        <family val="0"/>
        <charset val="1"/>
      </rPr>
      <t xml:space="preserve">, v5 </t>
    </r>
    <r>
      <rPr>
        <sz val="11"/>
        <rFont val="Noto Sans CJK SC"/>
        <family val="2"/>
      </rPr>
      <t xml:space="preserve">유지</t>
    </r>
  </si>
  <si>
    <t xml:space="preserve">기사대기실</t>
  </si>
  <si>
    <r>
      <rPr>
        <sz val="11"/>
        <rFont val="Arial"/>
        <family val="0"/>
        <charset val="1"/>
      </rPr>
      <t xml:space="preserve">B1_dimension_SE: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1060+940=2000 (</t>
    </r>
    <r>
      <rPr>
        <sz val="11"/>
        <rFont val="Noto Sans CJK SC"/>
        <family val="2"/>
      </rPr>
      <t xml:space="preserve">좌측 </t>
    </r>
    <r>
      <rPr>
        <sz val="11"/>
        <rFont val="Arial"/>
        <family val="0"/>
        <charset val="1"/>
      </rPr>
      <t xml:space="preserve">300 </t>
    </r>
    <r>
      <rPr>
        <sz val="11"/>
        <rFont val="Noto Sans CJK SC"/>
        <family val="2"/>
      </rPr>
      <t xml:space="preserve">벽 제외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2050 </t>
    </r>
    <r>
      <rPr>
        <sz val="11"/>
        <rFont val="Noto Sans CJK SC"/>
        <family val="2"/>
      </rPr>
      <t xml:space="preserve">숫자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둘레</t>
    </r>
    <r>
      <rPr>
        <sz val="11"/>
        <rFont val="Arial"/>
        <family val="0"/>
        <charset val="1"/>
      </rPr>
      <t xml:space="preserve">8.1-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940=7.16. </t>
    </r>
    <r>
      <rPr>
        <sz val="11"/>
        <rFont val="Noto Sans CJK SC"/>
        <family val="2"/>
      </rPr>
      <t xml:space="preserve">재질도면에 </t>
    </r>
    <r>
      <rPr>
        <sz val="11"/>
        <rFont val="Arial"/>
        <family val="0"/>
        <charset val="1"/>
      </rPr>
      <t xml:space="preserve">DELUXE TILE FIN. </t>
    </r>
    <r>
      <rPr>
        <sz val="11"/>
        <rFont val="Noto Sans CJK SC"/>
        <family val="2"/>
      </rPr>
      <t xml:space="preserve">문구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코드 태그는 창고 옆 </t>
    </r>
    <r>
      <rPr>
        <sz val="11"/>
        <rFont val="Arial"/>
        <family val="0"/>
        <charset val="1"/>
      </rPr>
      <t xml:space="preserve">01 DE</t>
    </r>
    <r>
      <rPr>
        <sz val="11"/>
        <rFont val="Noto Sans CJK SC"/>
        <family val="2"/>
      </rPr>
      <t xml:space="preserve">와 공유 표기</t>
    </r>
    <r>
      <rPr>
        <sz val="11"/>
        <rFont val="Arial"/>
        <family val="0"/>
        <charset val="1"/>
      </rPr>
      <t xml:space="preserve">)</t>
    </r>
  </si>
  <si>
    <t xml:space="preserve">창고</t>
  </si>
  <si>
    <r>
      <rPr>
        <sz val="11"/>
        <rFont val="Arial"/>
        <family val="0"/>
        <charset val="1"/>
      </rPr>
      <t xml:space="preserve">B1_dimension_SE: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1000+1850=2850 </t>
    </r>
    <r>
      <rPr>
        <sz val="11"/>
        <rFont val="Noto Sans CJK SC"/>
        <family val="2"/>
      </rPr>
      <t xml:space="preserve">숫자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가로는 숫자 없어 벽 중심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외벽 안쪽 도면비례 약</t>
    </r>
    <r>
      <rPr>
        <sz val="11"/>
        <rFont val="Arial"/>
        <family val="0"/>
        <charset val="1"/>
      </rPr>
      <t xml:space="preserve">1700(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둘레</t>
    </r>
    <r>
      <rPr>
        <sz val="11"/>
        <rFont val="Arial"/>
        <family val="0"/>
        <charset val="1"/>
      </rPr>
      <t xml:space="preserve">9.1-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1.0=8.1</t>
    </r>
  </si>
  <si>
    <t xml:space="preserve">이사장실</t>
  </si>
  <si>
    <t xml:space="preserve">DT-01</t>
  </si>
  <si>
    <r>
      <rPr>
        <sz val="11"/>
        <rFont val="Arial"/>
        <family val="0"/>
        <charset val="1"/>
      </rPr>
      <t xml:space="preserve">B1_dimension_NE/NW: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2849 x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2495 (</t>
    </r>
    <r>
      <rPr>
        <sz val="11"/>
        <rFont val="Noto Sans CJK SC"/>
        <family val="2"/>
      </rPr>
      <t xml:space="preserve">실 안쪽 치수 숫자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재질도면 </t>
    </r>
    <r>
      <rPr>
        <sz val="11"/>
        <rFont val="Arial"/>
        <family val="0"/>
        <charset val="1"/>
      </rPr>
      <t xml:space="preserve">remark(DT-01: </t>
    </r>
    <r>
      <rPr>
        <sz val="11"/>
        <rFont val="Noto Sans CJK SC"/>
        <family val="2"/>
      </rPr>
      <t xml:space="preserve">법률구조재단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이사장실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에 이사장실 포함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=2*(2.849+2.495)=10.69 - </t>
    </r>
    <r>
      <rPr>
        <sz val="11"/>
        <rFont val="Noto Sans CJK SC"/>
        <family val="2"/>
      </rPr>
      <t xml:space="preserve">동측 유리칸막이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문 포함</t>
    </r>
    <r>
      <rPr>
        <sz val="11"/>
        <rFont val="Arial"/>
        <family val="0"/>
        <charset val="1"/>
      </rPr>
      <t xml:space="preserve">) 2.495 = 8.19</t>
    </r>
  </si>
  <si>
    <t xml:space="preserve">법률구조재단</t>
  </si>
  <si>
    <r>
      <rPr>
        <sz val="11"/>
        <rFont val="Arial"/>
        <family val="0"/>
        <charset val="1"/>
      </rPr>
      <t xml:space="preserve">B1_dimension_NE: 7845(</t>
    </r>
    <r>
      <rPr>
        <sz val="11"/>
        <rFont val="Noto Sans CJK SC"/>
        <family val="2"/>
      </rPr>
      <t xml:space="preserve">전체 가로</t>
    </r>
    <r>
      <rPr>
        <sz val="11"/>
        <rFont val="Arial"/>
        <family val="0"/>
        <charset val="1"/>
      </rPr>
      <t xml:space="preserve">) x (2495+105+2850=5450) = 42.76 </t>
    </r>
    <r>
      <rPr>
        <sz val="11"/>
        <rFont val="Noto Sans CJK SC"/>
        <family val="2"/>
      </rPr>
      <t xml:space="preserve">에서 이사장실 </t>
    </r>
    <r>
      <rPr>
        <sz val="11"/>
        <rFont val="Arial"/>
        <family val="0"/>
        <charset val="1"/>
      </rPr>
      <t xml:space="preserve">2849x2495 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준비실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무코드</t>
    </r>
    <r>
      <rPr>
        <sz val="11"/>
        <rFont val="Arial"/>
        <family val="0"/>
        <charset val="1"/>
      </rPr>
      <t xml:space="preserve">, 105+1690+105=1900 x 1883+105=1988) 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이사장실 하부 벽 </t>
    </r>
    <r>
      <rPr>
        <sz val="11"/>
        <rFont val="Arial"/>
        <family val="0"/>
        <charset val="1"/>
      </rPr>
      <t xml:space="preserve">105x2849 </t>
    </r>
    <r>
      <rPr>
        <sz val="11"/>
        <rFont val="Noto Sans CJK SC"/>
        <family val="2"/>
      </rPr>
      <t xml:space="preserve">공제 </t>
    </r>
    <r>
      <rPr>
        <sz val="11"/>
        <rFont val="Arial"/>
        <family val="0"/>
        <charset val="1"/>
      </rPr>
      <t xml:space="preserve">= 31.57.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코너 노치 제외 둘레 </t>
    </r>
    <r>
      <rPr>
        <sz val="11"/>
        <rFont val="Arial"/>
        <family val="0"/>
        <charset val="1"/>
      </rPr>
      <t xml:space="preserve">26.59 - </t>
    </r>
    <r>
      <rPr>
        <sz val="11"/>
        <rFont val="Noto Sans CJK SC"/>
        <family val="2"/>
      </rPr>
      <t xml:space="preserve">서측문</t>
    </r>
    <r>
      <rPr>
        <sz val="11"/>
        <rFont val="Arial"/>
        <family val="0"/>
        <charset val="1"/>
      </rPr>
      <t xml:space="preserve">0.9 - </t>
    </r>
    <r>
      <rPr>
        <sz val="11"/>
        <rFont val="Noto Sans CJK SC"/>
        <family val="2"/>
      </rPr>
      <t xml:space="preserve">동측문</t>
    </r>
    <r>
      <rPr>
        <sz val="11"/>
        <rFont val="Arial"/>
        <family val="0"/>
        <charset val="1"/>
      </rPr>
      <t xml:space="preserve">0.98(B1_dimension_NE '980') - </t>
    </r>
    <r>
      <rPr>
        <sz val="11"/>
        <rFont val="Noto Sans CJK SC"/>
        <family val="2"/>
      </rPr>
      <t xml:space="preserve">이사장실 유리칸막이 </t>
    </r>
    <r>
      <rPr>
        <sz val="11"/>
        <rFont val="Arial"/>
        <family val="0"/>
        <charset val="1"/>
      </rPr>
      <t xml:space="preserve">2.495 = 22.22</t>
    </r>
  </si>
  <si>
    <t xml:space="preserve">2F</t>
  </si>
  <si>
    <r>
      <rPr>
        <sz val="11"/>
        <rFont val="Noto Sans CJK SC"/>
        <family val="2"/>
      </rPr>
      <t xml:space="preserve">여직원휴게실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수유실</t>
    </r>
    <r>
      <rPr>
        <sz val="11"/>
        <rFont val="Arial"/>
        <family val="0"/>
        <charset val="1"/>
      </rPr>
      <t xml:space="preserve">)</t>
    </r>
  </si>
  <si>
    <t xml:space="preserve">CT-02</t>
  </si>
  <si>
    <r>
      <rPr>
        <sz val="11"/>
        <rFont val="Arial"/>
        <family val="0"/>
        <charset val="1"/>
      </rPr>
      <t xml:space="preserve">2F_dimension_NE: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1116+1080=2196,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4045 </t>
    </r>
    <r>
      <rPr>
        <sz val="11"/>
        <rFont val="Noto Sans CJK SC"/>
        <family val="2"/>
      </rPr>
      <t xml:space="preserve">숫자</t>
    </r>
    <r>
      <rPr>
        <sz val="11"/>
        <rFont val="Arial"/>
        <family val="0"/>
        <charset val="1"/>
      </rPr>
      <t xml:space="preserve">; </t>
    </r>
    <r>
      <rPr>
        <sz val="11"/>
        <rFont val="Noto Sans CJK SC"/>
        <family val="2"/>
      </rPr>
      <t xml:space="preserve">좌측 </t>
    </r>
    <r>
      <rPr>
        <sz val="11"/>
        <rFont val="Arial"/>
        <family val="0"/>
        <charset val="1"/>
      </rPr>
      <t xml:space="preserve">1116</t>
    </r>
    <r>
      <rPr>
        <sz val="11"/>
        <rFont val="Noto Sans CJK SC"/>
        <family val="2"/>
      </rPr>
      <t xml:space="preserve">폭 구간은 </t>
    </r>
    <r>
      <rPr>
        <sz val="11"/>
        <rFont val="Arial"/>
        <family val="0"/>
        <charset val="1"/>
      </rPr>
      <t xml:space="preserve">295 </t>
    </r>
    <r>
      <rPr>
        <sz val="11"/>
        <rFont val="Noto Sans CJK SC"/>
        <family val="2"/>
      </rPr>
      <t xml:space="preserve">만큼 짧음</t>
    </r>
    <r>
      <rPr>
        <sz val="11"/>
        <rFont val="Arial"/>
        <family val="0"/>
        <charset val="1"/>
      </rPr>
      <t xml:space="preserve">(2F_dimension_NE '295') =&gt; 1.116x3.75+1.08x4.045=4.19+4.37.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둘레</t>
    </r>
    <r>
      <rPr>
        <sz val="11"/>
        <rFont val="Arial"/>
        <family val="0"/>
        <charset val="1"/>
      </rPr>
      <t xml:space="preserve">12.48-</t>
    </r>
    <r>
      <rPr>
        <sz val="11"/>
        <rFont val="Noto Sans CJK SC"/>
        <family val="2"/>
      </rPr>
      <t xml:space="preserve">문 </t>
    </r>
    <r>
      <rPr>
        <sz val="11"/>
        <rFont val="Arial"/>
        <family val="0"/>
        <charset val="1"/>
      </rPr>
      <t xml:space="preserve">980=11.5</t>
    </r>
  </si>
  <si>
    <r>
      <rPr>
        <sz val="11"/>
        <rFont val="Arial"/>
        <family val="0"/>
        <charset val="1"/>
      </rPr>
      <t xml:space="preserve">ok | v6: </t>
    </r>
    <r>
      <rPr>
        <sz val="11"/>
        <rFont val="Noto Sans CJK SC"/>
        <family val="2"/>
      </rPr>
      <t xml:space="preserve">외벽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창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접면 없음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무수치 북벽 </t>
    </r>
    <r>
      <rPr>
        <sz val="11"/>
        <rFont val="Arial"/>
        <family val="0"/>
        <charset val="1"/>
      </rPr>
      <t xml:space="preserve">-&gt; </t>
    </r>
    <r>
      <rPr>
        <sz val="11"/>
        <rFont val="Noto Sans CJK SC"/>
        <family val="2"/>
      </rPr>
      <t xml:space="preserve">띠 변경 없음</t>
    </r>
  </si>
  <si>
    <r>
      <rPr>
        <sz val="11"/>
        <rFont val="Noto Sans CJK SC"/>
        <family val="2"/>
      </rPr>
      <t xml:space="preserve">소회의실</t>
    </r>
    <r>
      <rPr>
        <sz val="11"/>
        <rFont val="Arial"/>
        <family val="0"/>
        <charset val="1"/>
      </rPr>
      <t xml:space="preserve">-1</t>
    </r>
  </si>
  <si>
    <r>
      <rPr>
        <sz val="11"/>
        <rFont val="Arial"/>
        <family val="0"/>
        <charset val="1"/>
      </rPr>
      <t xml:space="preserve">2F_dimension_SW: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3205,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3345(2F_dimension_SE '3345', SW '3390'</t>
    </r>
    <r>
      <rPr>
        <sz val="11"/>
        <rFont val="Noto Sans CJK SC"/>
        <family val="2"/>
      </rPr>
      <t xml:space="preserve">은 중심선 기준이라 </t>
    </r>
    <r>
      <rPr>
        <sz val="11"/>
        <rFont val="Arial"/>
        <family val="0"/>
        <charset val="1"/>
      </rPr>
      <t xml:space="preserve">3345 </t>
    </r>
    <r>
      <rPr>
        <sz val="11"/>
        <rFont val="Noto Sans CJK SC"/>
        <family val="2"/>
      </rPr>
      <t xml:space="preserve">채택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서벽</t>
    </r>
    <r>
      <rPr>
        <sz val="11"/>
        <rFont val="Arial"/>
        <family val="0"/>
        <charset val="1"/>
      </rPr>
      <t xml:space="preserve">3.345+</t>
    </r>
    <r>
      <rPr>
        <sz val="11"/>
        <rFont val="Noto Sans CJK SC"/>
        <family val="2"/>
      </rPr>
      <t xml:space="preserve">동측 폴딩도어 칸막이</t>
    </r>
    <r>
      <rPr>
        <sz val="11"/>
        <rFont val="Arial"/>
        <family val="0"/>
        <charset val="1"/>
      </rPr>
      <t xml:space="preserve">3.345 (</t>
    </r>
    <r>
      <rPr>
        <sz val="11"/>
        <rFont val="Noto Sans CJK SC"/>
        <family val="2"/>
      </rPr>
      <t xml:space="preserve">전면 유리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남측 창 제외</t>
    </r>
    <r>
      <rPr>
        <sz val="11"/>
        <rFont val="Arial"/>
        <family val="0"/>
        <charset val="1"/>
      </rPr>
      <t xml:space="preserve">; </t>
    </r>
    <r>
      <rPr>
        <sz val="11"/>
        <rFont val="Noto Sans CJK SC"/>
        <family val="2"/>
      </rPr>
      <t xml:space="preserve">폴딩 칸막이를 양쪽 실에 반영한 가정</t>
    </r>
    <r>
      <rPr>
        <sz val="11"/>
        <rFont val="Arial"/>
        <family val="0"/>
        <charset val="1"/>
      </rPr>
      <t xml:space="preserve">) || [v5 </t>
    </r>
    <r>
      <rPr>
        <sz val="11"/>
        <rFont val="Noto Sans CJK SC"/>
        <family val="2"/>
      </rPr>
      <t xml:space="preserve">수정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서측 고정벽 </t>
    </r>
    <r>
      <rPr>
        <sz val="11"/>
        <rFont val="Arial"/>
        <family val="0"/>
        <charset val="1"/>
      </rPr>
      <t xml:space="preserve">3.345 + </t>
    </r>
    <r>
      <rPr>
        <sz val="11"/>
        <rFont val="Noto Sans CJK SC"/>
        <family val="2"/>
      </rPr>
      <t xml:space="preserve">남측 불투명 외벽 </t>
    </r>
    <r>
      <rPr>
        <sz val="11"/>
        <rFont val="Arial"/>
        <family val="0"/>
        <charset val="1"/>
      </rPr>
      <t xml:space="preserve">1.78 = 5.13 (</t>
    </r>
    <r>
      <rPr>
        <sz val="11"/>
        <rFont val="Noto Sans CJK SC"/>
        <family val="2"/>
      </rPr>
      <t xml:space="preserve">동측 폴딩도어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전면 유리 제외</t>
    </r>
    <r>
      <rPr>
        <sz val="11"/>
        <rFont val="Arial"/>
        <family val="0"/>
        <charset val="1"/>
      </rPr>
      <t xml:space="preserve">). || [v6 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] 2F_dimension_SW '3390'/SE '3345' 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'555'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3205 - </t>
    </r>
    <r>
      <rPr>
        <sz val="11"/>
        <rFont val="Noto Sans CJK SC"/>
        <family val="2"/>
      </rPr>
      <t xml:space="preserve">그리드</t>
    </r>
    <r>
      <rPr>
        <sz val="11"/>
        <rFont val="Arial"/>
        <family val="0"/>
        <charset val="1"/>
      </rPr>
      <t xml:space="preserve">2 </t>
    </r>
    <r>
      <rPr>
        <sz val="11"/>
        <rFont val="Noto Sans CJK SC"/>
        <family val="2"/>
      </rPr>
      <t xml:space="preserve">기둥 약</t>
    </r>
    <r>
      <rPr>
        <sz val="11"/>
        <rFont val="Arial"/>
        <family val="0"/>
        <charset val="1"/>
      </rPr>
      <t xml:space="preserve">0.21. </t>
    </r>
    <r>
      <rPr>
        <sz val="11"/>
        <rFont val="Noto Sans CJK SC"/>
        <family val="2"/>
      </rPr>
      <t xml:space="preserve">계산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555x3.205=+1.78 + </t>
    </r>
    <r>
      <rPr>
        <sz val="11"/>
        <rFont val="Noto Sans CJK SC"/>
        <family val="2"/>
      </rPr>
      <t xml:space="preserve">기둥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=-0.21 = +1.57. </t>
    </r>
    <r>
      <rPr>
        <sz val="11"/>
        <rFont val="Noto Sans CJK SC"/>
        <family val="2"/>
      </rPr>
      <t xml:space="preserve">걸레받이는 창 하부</t>
    </r>
    <r>
      <rPr>
        <sz val="11"/>
        <rFont val="Arial"/>
        <family val="0"/>
        <charset val="1"/>
      </rPr>
      <t xml:space="preserve">(FCU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라 변경 없음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</si>
  <si>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창측 띠 </t>
    </r>
    <r>
      <rPr>
        <sz val="11"/>
        <rFont val="Arial"/>
        <family val="0"/>
        <charset val="1"/>
      </rPr>
      <t xml:space="preserve">+1.57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(2F_dimension_SW '3390'/SE '3345' 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'555'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3205 - </t>
    </r>
    <r>
      <rPr>
        <sz val="11"/>
        <rFont val="Noto Sans CJK SC"/>
        <family val="2"/>
      </rPr>
      <t xml:space="preserve">그리드</t>
    </r>
    <r>
      <rPr>
        <sz val="11"/>
        <rFont val="Arial"/>
        <family val="0"/>
        <charset val="1"/>
      </rPr>
      <t xml:space="preserve">2 </t>
    </r>
    <r>
      <rPr>
        <sz val="11"/>
        <rFont val="Noto Sans CJK SC"/>
        <family val="2"/>
      </rPr>
      <t xml:space="preserve">기둥 약</t>
    </r>
    <r>
      <rPr>
        <sz val="11"/>
        <rFont val="Arial"/>
        <family val="0"/>
        <charset val="1"/>
      </rPr>
      <t xml:space="preserve">0.21).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10.72-&gt;12.29. </t>
    </r>
    <r>
      <rPr>
        <sz val="11"/>
        <rFont val="Noto Sans CJK SC"/>
        <family val="2"/>
      </rPr>
      <t xml:space="preserve">이전 </t>
    </r>
    <r>
      <rPr>
        <sz val="11"/>
        <rFont val="Arial"/>
        <family val="0"/>
        <charset val="1"/>
      </rPr>
      <t xml:space="preserve">review: </t>
    </r>
    <r>
      <rPr>
        <sz val="11"/>
        <rFont val="Noto Sans CJK SC"/>
        <family val="2"/>
      </rPr>
      <t xml:space="preserve">걸레받이 수정 </t>
    </r>
    <r>
      <rPr>
        <sz val="11"/>
        <rFont val="Arial"/>
        <family val="0"/>
        <charset val="1"/>
      </rPr>
      <t xml:space="preserve">6.69-&gt;5.13. </t>
    </r>
    <r>
      <rPr>
        <sz val="11"/>
        <rFont val="Noto Sans CJK SC"/>
        <family val="2"/>
      </rPr>
      <t xml:space="preserve">폴딩도어</t>
    </r>
    <r>
      <rPr>
        <sz val="11"/>
        <rFont val="Arial"/>
        <family val="0"/>
        <charset val="1"/>
      </rPr>
      <t xml:space="preserve">(ESC-04) </t>
    </r>
    <r>
      <rPr>
        <sz val="11"/>
        <rFont val="Noto Sans CJK SC"/>
        <family val="2"/>
      </rPr>
      <t xml:space="preserve">칸막이는 이동식이라 걸레받이 없음</t>
    </r>
    <r>
      <rPr>
        <sz val="11"/>
        <rFont val="Arial"/>
        <family val="0"/>
        <charset val="1"/>
      </rPr>
      <t xml:space="preserve">(R5 </t>
    </r>
    <r>
      <rPr>
        <sz val="11"/>
        <rFont val="Noto Sans CJK SC"/>
        <family val="2"/>
      </rPr>
      <t xml:space="preserve">벽이 있는 구간만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서측 고정벽 </t>
    </r>
    <r>
      <rPr>
        <sz val="11"/>
        <rFont val="Arial"/>
        <family val="0"/>
        <charset val="1"/>
      </rPr>
      <t xml:space="preserve">3.345</t>
    </r>
    <r>
      <rPr>
        <sz val="11"/>
        <rFont val="Noto Sans CJK SC"/>
        <family val="2"/>
      </rPr>
      <t xml:space="preserve">만 인정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반대로 남측 외벽 불투명 기둥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벽체 구간 약</t>
    </r>
    <r>
      <rPr>
        <sz val="11"/>
        <rFont val="Arial"/>
        <family val="0"/>
        <charset val="1"/>
      </rPr>
      <t xml:space="preserve">1.78m(2F_dimension_SW </t>
    </r>
    <r>
      <rPr>
        <sz val="11"/>
        <rFont val="Noto Sans CJK SC"/>
        <family val="2"/>
      </rPr>
      <t xml:space="preserve">하단 진한 벽체 </t>
    </r>
    <r>
      <rPr>
        <sz val="11"/>
        <rFont val="Arial"/>
        <family val="0"/>
        <charset val="1"/>
      </rPr>
      <t xml:space="preserve">x950~1080)</t>
    </r>
    <r>
      <rPr>
        <sz val="11"/>
        <rFont val="Noto Sans CJK SC"/>
        <family val="2"/>
      </rPr>
      <t xml:space="preserve">가 누락되어 추가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</si>
  <si>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소회의실</t>
    </r>
    <r>
      <rPr>
        <sz val="11"/>
        <rFont val="Arial"/>
        <family val="0"/>
        <charset val="1"/>
      </rPr>
      <t xml:space="preserve">-2</t>
    </r>
  </si>
  <si>
    <r>
      <rPr>
        <sz val="11"/>
        <rFont val="Arial"/>
        <family val="0"/>
        <charset val="1"/>
      </rPr>
      <t xml:space="preserve">2F_dimension_SW/SE: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3203,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3345.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양측 폴딩도어 칸막이 </t>
    </r>
    <r>
      <rPr>
        <sz val="11"/>
        <rFont val="Arial"/>
        <family val="0"/>
        <charset val="1"/>
      </rPr>
      <t xml:space="preserve">3.345x2 (</t>
    </r>
    <r>
      <rPr>
        <sz val="11"/>
        <rFont val="Noto Sans CJK SC"/>
        <family val="2"/>
      </rPr>
      <t xml:space="preserve">가정</t>
    </r>
    <r>
      <rPr>
        <sz val="11"/>
        <rFont val="Arial"/>
        <family val="0"/>
        <charset val="1"/>
      </rPr>
      <t xml:space="preserve">) || [v5 </t>
    </r>
    <r>
      <rPr>
        <sz val="11"/>
        <rFont val="Noto Sans CJK SC"/>
        <family val="2"/>
      </rPr>
      <t xml:space="preserve">수정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양측 폴딩도어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전면 유리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남측 유리 </t>
    </r>
    <r>
      <rPr>
        <sz val="11"/>
        <rFont val="Arial"/>
        <family val="0"/>
        <charset val="1"/>
      </rPr>
      <t xml:space="preserve">=&gt; </t>
    </r>
    <r>
      <rPr>
        <sz val="11"/>
        <rFont val="Noto Sans CJK SC"/>
        <family val="2"/>
      </rPr>
      <t xml:space="preserve">걸레받이 </t>
    </r>
    <r>
      <rPr>
        <sz val="11"/>
        <rFont val="Arial"/>
        <family val="0"/>
        <charset val="1"/>
      </rPr>
      <t xml:space="preserve">0. || [v6 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] 2F_dimension_SW/SE '3345' 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'555'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3203 (</t>
    </r>
    <r>
      <rPr>
        <sz val="11"/>
        <rFont val="Noto Sans CJK SC"/>
        <family val="2"/>
      </rPr>
      <t xml:space="preserve">기둥 없음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계산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555x3.203=+1.78 = +1.78. </t>
    </r>
    <r>
      <rPr>
        <sz val="11"/>
        <rFont val="Noto Sans CJK SC"/>
        <family val="2"/>
      </rPr>
      <t xml:space="preserve">걸레받이는 창 하부</t>
    </r>
    <r>
      <rPr>
        <sz val="11"/>
        <rFont val="Arial"/>
        <family val="0"/>
        <charset val="1"/>
      </rPr>
      <t xml:space="preserve">(FCU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라 변경 없음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</si>
  <si>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창측 띠 </t>
    </r>
    <r>
      <rPr>
        <sz val="11"/>
        <rFont val="Arial"/>
        <family val="0"/>
        <charset val="1"/>
      </rPr>
      <t xml:space="preserve">+1.78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(2F_dimension_SW/SE '3345' 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'555'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3203 (</t>
    </r>
    <r>
      <rPr>
        <sz val="11"/>
        <rFont val="Noto Sans CJK SC"/>
        <family val="2"/>
      </rPr>
      <t xml:space="preserve">기둥 없음</t>
    </r>
    <r>
      <rPr>
        <sz val="11"/>
        <rFont val="Arial"/>
        <family val="0"/>
        <charset val="1"/>
      </rPr>
      <t xml:space="preserve">)).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10.71-&gt;12.49. </t>
    </r>
    <r>
      <rPr>
        <sz val="11"/>
        <rFont val="Noto Sans CJK SC"/>
        <family val="2"/>
      </rPr>
      <t xml:space="preserve">이전 </t>
    </r>
    <r>
      <rPr>
        <sz val="11"/>
        <rFont val="Arial"/>
        <family val="0"/>
        <charset val="1"/>
      </rPr>
      <t xml:space="preserve">review: </t>
    </r>
    <r>
      <rPr>
        <sz val="11"/>
        <rFont val="Noto Sans CJK SC"/>
        <family val="2"/>
      </rPr>
      <t xml:space="preserve">걸레받이 수정 </t>
    </r>
    <r>
      <rPr>
        <sz val="11"/>
        <rFont val="Arial"/>
        <family val="0"/>
        <charset val="1"/>
      </rPr>
      <t xml:space="preserve">6.69-&gt;0. </t>
    </r>
    <r>
      <rPr>
        <sz val="11"/>
        <rFont val="Noto Sans CJK SC"/>
        <family val="2"/>
      </rPr>
      <t xml:space="preserve">양측이 모두 폴딩도어 칸막이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이동식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걸레받이 없음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전면은 유리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남측은 </t>
    </r>
    <r>
      <rPr>
        <sz val="11"/>
        <rFont val="Arial"/>
        <family val="0"/>
        <charset val="1"/>
      </rPr>
      <t xml:space="preserve">SE</t>
    </r>
    <r>
      <rPr>
        <sz val="11"/>
        <rFont val="Noto Sans CJK SC"/>
        <family val="2"/>
      </rPr>
      <t xml:space="preserve">타일상 유리 커튼월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벽 구간 없음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</si>
  <si>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소회의실</t>
    </r>
    <r>
      <rPr>
        <sz val="11"/>
        <rFont val="Arial"/>
        <family val="0"/>
        <charset val="1"/>
      </rPr>
      <t xml:space="preserve">-3</t>
    </r>
  </si>
  <si>
    <r>
      <rPr>
        <sz val="11"/>
        <rFont val="Arial"/>
        <family val="0"/>
        <charset val="1"/>
      </rPr>
      <t xml:space="preserve">2F_dimension_SE: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3203,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3345.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서측 폴딩 </t>
    </r>
    <r>
      <rPr>
        <sz val="11"/>
        <rFont val="Arial"/>
        <family val="0"/>
        <charset val="1"/>
      </rPr>
      <t xml:space="preserve">3.345 + </t>
    </r>
    <r>
      <rPr>
        <sz val="11"/>
        <rFont val="Noto Sans CJK SC"/>
        <family val="2"/>
      </rPr>
      <t xml:space="preserve">동측 금고 벽 </t>
    </r>
    <r>
      <rPr>
        <sz val="11"/>
        <rFont val="Arial"/>
        <family val="0"/>
        <charset val="1"/>
      </rPr>
      <t xml:space="preserve">3.345 || [v5 </t>
    </r>
    <r>
      <rPr>
        <sz val="11"/>
        <rFont val="Noto Sans CJK SC"/>
        <family val="2"/>
      </rPr>
      <t xml:space="preserve">수정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동측 금고 고정벽 </t>
    </r>
    <r>
      <rPr>
        <sz val="11"/>
        <rFont val="Arial"/>
        <family val="0"/>
        <charset val="1"/>
      </rPr>
      <t xml:space="preserve">3.345 (</t>
    </r>
    <r>
      <rPr>
        <sz val="11"/>
        <rFont val="Noto Sans CJK SC"/>
        <family val="2"/>
      </rPr>
      <t xml:space="preserve">서측 폴딩도어 제외</t>
    </r>
    <r>
      <rPr>
        <sz val="11"/>
        <rFont val="Arial"/>
        <family val="0"/>
        <charset val="1"/>
      </rPr>
      <t xml:space="preserve">). || [v6 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] 2F_dimension_SE '3345' 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'555'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3203 - </t>
    </r>
    <r>
      <rPr>
        <sz val="11"/>
        <rFont val="Noto Sans CJK SC"/>
        <family val="2"/>
      </rPr>
      <t xml:space="preserve">동측 기둥 약</t>
    </r>
    <r>
      <rPr>
        <sz val="11"/>
        <rFont val="Arial"/>
        <family val="0"/>
        <charset val="1"/>
      </rPr>
      <t xml:space="preserve">0.21. </t>
    </r>
    <r>
      <rPr>
        <sz val="11"/>
        <rFont val="Noto Sans CJK SC"/>
        <family val="2"/>
      </rPr>
      <t xml:space="preserve">계산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555x3.203=+1.78 + </t>
    </r>
    <r>
      <rPr>
        <sz val="11"/>
        <rFont val="Noto Sans CJK SC"/>
        <family val="2"/>
      </rPr>
      <t xml:space="preserve">기둥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=-0.21 = +1.57. </t>
    </r>
    <r>
      <rPr>
        <sz val="11"/>
        <rFont val="Noto Sans CJK SC"/>
        <family val="2"/>
      </rPr>
      <t xml:space="preserve">걸레받이는 창 하부</t>
    </r>
    <r>
      <rPr>
        <sz val="11"/>
        <rFont val="Arial"/>
        <family val="0"/>
        <charset val="1"/>
      </rPr>
      <t xml:space="preserve">(FCU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라 변경 없음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</si>
  <si>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창측 띠 </t>
    </r>
    <r>
      <rPr>
        <sz val="11"/>
        <rFont val="Arial"/>
        <family val="0"/>
        <charset val="1"/>
      </rPr>
      <t xml:space="preserve">+1.57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(2F_dimension_SE '3345' 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'555'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3203 - </t>
    </r>
    <r>
      <rPr>
        <sz val="11"/>
        <rFont val="Noto Sans CJK SC"/>
        <family val="2"/>
      </rPr>
      <t xml:space="preserve">동측 기둥 약</t>
    </r>
    <r>
      <rPr>
        <sz val="11"/>
        <rFont val="Arial"/>
        <family val="0"/>
        <charset val="1"/>
      </rPr>
      <t xml:space="preserve">0.21).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10.71-&gt;12.28. </t>
    </r>
    <r>
      <rPr>
        <sz val="11"/>
        <rFont val="Noto Sans CJK SC"/>
        <family val="2"/>
      </rPr>
      <t xml:space="preserve">이전 </t>
    </r>
    <r>
      <rPr>
        <sz val="11"/>
        <rFont val="Arial"/>
        <family val="0"/>
        <charset val="1"/>
      </rPr>
      <t xml:space="preserve">review: </t>
    </r>
    <r>
      <rPr>
        <sz val="11"/>
        <rFont val="Noto Sans CJK SC"/>
        <family val="2"/>
      </rPr>
      <t xml:space="preserve">걸레받이 수정 </t>
    </r>
    <r>
      <rPr>
        <sz val="11"/>
        <rFont val="Arial"/>
        <family val="0"/>
        <charset val="1"/>
      </rPr>
      <t xml:space="preserve">6.69-&gt;3.35. </t>
    </r>
    <r>
      <rPr>
        <sz val="11"/>
        <rFont val="Noto Sans CJK SC"/>
        <family val="2"/>
      </rPr>
      <t xml:space="preserve">서측은 폴딩도어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걸레받이 없음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동측 금고 벽 </t>
    </r>
    <r>
      <rPr>
        <sz val="11"/>
        <rFont val="Arial"/>
        <family val="0"/>
        <charset val="1"/>
      </rPr>
      <t xml:space="preserve">3.345</t>
    </r>
    <r>
      <rPr>
        <sz val="11"/>
        <rFont val="Noto Sans CJK SC"/>
        <family val="2"/>
      </rPr>
      <t xml:space="preserve">만 고정벽</t>
    </r>
    <r>
      <rPr>
        <sz val="11"/>
        <rFont val="Arial"/>
        <family val="0"/>
        <charset val="1"/>
      </rPr>
      <t xml:space="preserve">.</t>
    </r>
  </si>
  <si>
    <t xml:space="preserve">금고</t>
  </si>
  <si>
    <r>
      <rPr>
        <sz val="11"/>
        <rFont val="Arial"/>
        <family val="0"/>
        <charset val="1"/>
      </rPr>
      <t xml:space="preserve">2F_dimension_SE: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1673,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980+2310=3290 (205/105 </t>
    </r>
    <r>
      <rPr>
        <sz val="11"/>
        <rFont val="Noto Sans CJK SC"/>
        <family val="2"/>
      </rPr>
      <t xml:space="preserve">벽 제외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둘레</t>
    </r>
    <r>
      <rPr>
        <sz val="11"/>
        <rFont val="Arial"/>
        <family val="0"/>
        <charset val="1"/>
      </rPr>
      <t xml:space="preserve">9.93-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980=8.95</t>
    </r>
  </si>
  <si>
    <r>
      <rPr>
        <sz val="11"/>
        <rFont val="Arial"/>
        <family val="0"/>
        <charset val="1"/>
      </rPr>
      <t xml:space="preserve">O.A RM (</t>
    </r>
    <r>
      <rPr>
        <sz val="11"/>
        <rFont val="Noto Sans CJK SC"/>
        <family val="2"/>
      </rPr>
      <t xml:space="preserve">서측</t>
    </r>
    <r>
      <rPr>
        <sz val="11"/>
        <rFont val="Arial"/>
        <family val="0"/>
        <charset val="1"/>
      </rPr>
      <t xml:space="preserve">)</t>
    </r>
  </si>
  <si>
    <t xml:space="preserve">DT-02</t>
  </si>
  <si>
    <r>
      <rPr>
        <sz val="11"/>
        <rFont val="Arial"/>
        <family val="0"/>
        <charset val="1"/>
      </rPr>
      <t xml:space="preserve">2F_dimension_SW: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190|1395|115 (</t>
    </r>
    <r>
      <rPr>
        <sz val="11"/>
        <rFont val="Noto Sans CJK SC"/>
        <family val="2"/>
      </rPr>
      <t xml:space="preserve">안목 </t>
    </r>
    <r>
      <rPr>
        <sz val="11"/>
        <rFont val="Arial"/>
        <family val="0"/>
        <charset val="1"/>
      </rPr>
      <t xml:space="preserve">1395),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4531 </t>
    </r>
    <r>
      <rPr>
        <sz val="11"/>
        <rFont val="Noto Sans CJK SC"/>
        <family val="2"/>
      </rPr>
      <t xml:space="preserve">숫자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재질도면 </t>
    </r>
    <r>
      <rPr>
        <sz val="11"/>
        <rFont val="Arial"/>
        <family val="0"/>
        <charset val="1"/>
      </rPr>
      <t xml:space="preserve">SW</t>
    </r>
    <r>
      <rPr>
        <sz val="11"/>
        <rFont val="Noto Sans CJK SC"/>
        <family val="2"/>
      </rPr>
      <t xml:space="preserve">타일 태그 </t>
    </r>
    <r>
      <rPr>
        <sz val="11"/>
        <rFont val="Arial"/>
        <family val="0"/>
        <charset val="1"/>
      </rPr>
      <t xml:space="preserve">'02 DT'(overview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03</t>
    </r>
    <r>
      <rPr>
        <sz val="11"/>
        <rFont val="Noto Sans CJK SC"/>
        <family val="2"/>
      </rPr>
      <t xml:space="preserve">처럼 보이나 타일에서 </t>
    </r>
    <r>
      <rPr>
        <sz val="11"/>
        <rFont val="Arial"/>
        <family val="0"/>
        <charset val="1"/>
      </rPr>
      <t xml:space="preserve">02 </t>
    </r>
    <r>
      <rPr>
        <sz val="11"/>
        <rFont val="Noto Sans CJK SC"/>
        <family val="2"/>
      </rPr>
      <t xml:space="preserve">확인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둘레</t>
    </r>
    <r>
      <rPr>
        <sz val="11"/>
        <rFont val="Arial"/>
        <family val="0"/>
        <charset val="1"/>
      </rPr>
      <t xml:space="preserve">11.85-</t>
    </r>
    <r>
      <rPr>
        <sz val="11"/>
        <rFont val="Noto Sans CJK SC"/>
        <family val="2"/>
      </rPr>
      <t xml:space="preserve">서측 개구 </t>
    </r>
    <r>
      <rPr>
        <sz val="11"/>
        <rFont val="Arial"/>
        <family val="0"/>
        <charset val="1"/>
      </rPr>
      <t xml:space="preserve">1880=9.97</t>
    </r>
  </si>
  <si>
    <r>
      <rPr>
        <sz val="11"/>
        <rFont val="Arial"/>
        <family val="0"/>
        <charset val="1"/>
      </rPr>
      <t xml:space="preserve">CORRIDOR </t>
    </r>
    <r>
      <rPr>
        <sz val="11"/>
        <rFont val="Noto Sans CJK SC"/>
        <family val="2"/>
      </rPr>
      <t xml:space="preserve">서측 </t>
    </r>
    <r>
      <rPr>
        <sz val="11"/>
        <rFont val="Arial"/>
        <family val="0"/>
        <charset val="1"/>
      </rPr>
      <t xml:space="preserve">(INFO~O.A </t>
    </r>
    <r>
      <rPr>
        <sz val="11"/>
        <rFont val="Noto Sans CJK SC"/>
        <family val="2"/>
      </rPr>
      <t xml:space="preserve">옆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</si>
  <si>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2F_dimension_NW: 1980(INFO </t>
    </r>
    <r>
      <rPr>
        <sz val="11"/>
        <rFont val="Noto Sans CJK SC"/>
        <family val="2"/>
      </rPr>
      <t xml:space="preserve">동측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화장실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코어벽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4.93m(INFO </t>
    </r>
    <r>
      <rPr>
        <sz val="11"/>
        <rFont val="Noto Sans CJK SC"/>
        <family val="2"/>
      </rPr>
      <t xml:space="preserve">상단벽</t>
    </r>
    <r>
      <rPr>
        <sz val="11"/>
        <rFont val="Arial"/>
        <family val="0"/>
        <charset val="1"/>
      </rPr>
      <t xml:space="preserve">~O.A RM </t>
    </r>
    <r>
      <rPr>
        <sz val="11"/>
        <rFont val="Noto Sans CJK SC"/>
        <family val="2"/>
      </rPr>
      <t xml:space="preserve">상단</t>
    </r>
    <r>
      <rPr>
        <sz val="11"/>
        <rFont val="Arial"/>
        <family val="0"/>
        <charset val="1"/>
      </rPr>
      <t xml:space="preserve">) 9.76; 2F_dimension_SW: 1600(O.A RM </t>
    </r>
    <r>
      <rPr>
        <sz val="11"/>
        <rFont val="Noto Sans CJK SC"/>
        <family val="2"/>
      </rPr>
      <t xml:space="preserve">동벽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코어 서측</t>
    </r>
    <r>
      <rPr>
        <sz val="11"/>
        <rFont val="Arial"/>
        <family val="0"/>
        <charset val="1"/>
      </rPr>
      <t xml:space="preserve">, '1700|1600|400') x 4.82(O.A RM </t>
    </r>
    <r>
      <rPr>
        <sz val="11"/>
        <rFont val="Noto Sans CJK SC"/>
        <family val="2"/>
      </rPr>
      <t xml:space="preserve">구간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코어 하부</t>
    </r>
    <r>
      <rPr>
        <sz val="11"/>
        <rFont val="Arial"/>
        <family val="0"/>
        <charset val="1"/>
      </rPr>
      <t xml:space="preserve">) 7.71. </t>
    </r>
    <r>
      <rPr>
        <sz val="11"/>
        <rFont val="Noto Sans CJK SC"/>
        <family val="2"/>
      </rPr>
      <t xml:space="preserve">길이는 도면비례 추정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화장실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코어벽</t>
    </r>
    <r>
      <rPr>
        <sz val="11"/>
        <rFont val="Arial"/>
        <family val="0"/>
        <charset val="1"/>
      </rPr>
      <t xml:space="preserve">3.4+INFO </t>
    </r>
    <r>
      <rPr>
        <sz val="11"/>
        <rFont val="Noto Sans CJK SC"/>
        <family val="2"/>
      </rPr>
      <t xml:space="preserve">상벽</t>
    </r>
    <r>
      <rPr>
        <sz val="11"/>
        <rFont val="Arial"/>
        <family val="0"/>
        <charset val="1"/>
      </rPr>
      <t xml:space="preserve">2.0+O.A</t>
    </r>
    <r>
      <rPr>
        <sz val="11"/>
        <rFont val="Noto Sans CJK SC"/>
        <family val="2"/>
      </rPr>
      <t xml:space="preserve">동벽</t>
    </r>
    <r>
      <rPr>
        <sz val="11"/>
        <rFont val="Arial"/>
        <family val="0"/>
        <charset val="1"/>
      </rPr>
      <t xml:space="preserve">4.53+</t>
    </r>
    <r>
      <rPr>
        <sz val="11"/>
        <rFont val="Noto Sans CJK SC"/>
        <family val="2"/>
      </rPr>
      <t xml:space="preserve">코어 서측</t>
    </r>
    <r>
      <rPr>
        <sz val="11"/>
        <rFont val="Arial"/>
        <family val="0"/>
        <charset val="1"/>
      </rPr>
      <t xml:space="preserve">5.4 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14.75</t>
    </r>
  </si>
  <si>
    <r>
      <rPr>
        <sz val="11"/>
        <rFont val="Arial"/>
        <family val="0"/>
        <charset val="1"/>
      </rPr>
      <t xml:space="preserve">CORRIDOR </t>
    </r>
    <r>
      <rPr>
        <sz val="11"/>
        <rFont val="Noto Sans CJK SC"/>
        <family val="2"/>
      </rPr>
      <t xml:space="preserve">남측</t>
    </r>
  </si>
  <si>
    <r>
      <rPr>
        <sz val="11"/>
        <rFont val="Arial"/>
        <family val="0"/>
        <charset val="1"/>
      </rPr>
      <t xml:space="preserve">2F_dimension_SW/SE: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2000(</t>
    </r>
    <r>
      <rPr>
        <sz val="11"/>
        <rFont val="Noto Sans CJK SC"/>
        <family val="2"/>
      </rPr>
      <t xml:space="preserve">코어 하부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소회의실 전면</t>
    </r>
    <r>
      <rPr>
        <sz val="11"/>
        <rFont val="Arial"/>
        <family val="0"/>
        <charset val="1"/>
      </rPr>
      <t xml:space="preserve">, SW '2000' </t>
    </r>
    <r>
      <rPr>
        <sz val="11"/>
        <rFont val="Noto Sans CJK SC"/>
        <family val="2"/>
      </rPr>
      <t xml:space="preserve">숫자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F-2 </t>
    </r>
    <r>
      <rPr>
        <sz val="11"/>
        <rFont val="Noto Sans CJK SC"/>
        <family val="2"/>
      </rPr>
      <t xml:space="preserve">전이선</t>
    </r>
    <r>
      <rPr>
        <sz val="11"/>
        <rFont val="Arial"/>
        <family val="0"/>
        <charset val="1"/>
      </rPr>
      <t xml:space="preserve">(SW x=893)~F-2 </t>
    </r>
    <r>
      <rPr>
        <sz val="11"/>
        <rFont val="Noto Sans CJK SC"/>
        <family val="2"/>
      </rPr>
      <t xml:space="preserve">전이선</t>
    </r>
    <r>
      <rPr>
        <sz val="11"/>
        <rFont val="Arial"/>
        <family val="0"/>
        <charset val="1"/>
      </rPr>
      <t xml:space="preserve">(SE x=603) </t>
    </r>
    <r>
      <rPr>
        <sz val="11"/>
        <rFont val="Noto Sans CJK SC"/>
        <family val="2"/>
      </rPr>
      <t xml:space="preserve">중 </t>
    </r>
    <r>
      <rPr>
        <sz val="11"/>
        <rFont val="Arial"/>
        <family val="0"/>
        <charset val="1"/>
      </rPr>
      <t xml:space="preserve">O.A RM </t>
    </r>
    <r>
      <rPr>
        <sz val="11"/>
        <rFont val="Noto Sans CJK SC"/>
        <family val="2"/>
      </rPr>
      <t xml:space="preserve">동벽</t>
    </r>
    <r>
      <rPr>
        <sz val="11"/>
        <rFont val="Arial"/>
        <family val="0"/>
        <charset val="1"/>
      </rPr>
      <t xml:space="preserve">(x=820)</t>
    </r>
    <r>
      <rPr>
        <sz val="11"/>
        <rFont val="Noto Sans CJK SC"/>
        <family val="2"/>
      </rPr>
      <t xml:space="preserve">부터 </t>
    </r>
    <r>
      <rPr>
        <sz val="11"/>
        <rFont val="Arial"/>
        <family val="0"/>
        <charset val="1"/>
      </rPr>
      <t xml:space="preserve">SE x=603</t>
    </r>
    <r>
      <rPr>
        <sz val="11"/>
        <rFont val="Noto Sans CJK SC"/>
        <family val="2"/>
      </rPr>
      <t xml:space="preserve">까지 약</t>
    </r>
    <r>
      <rPr>
        <sz val="11"/>
        <rFont val="Arial"/>
        <family val="0"/>
        <charset val="1"/>
      </rPr>
      <t xml:space="preserve">13.43m(</t>
    </r>
    <r>
      <rPr>
        <sz val="11"/>
        <rFont val="Noto Sans CJK SC"/>
        <family val="2"/>
      </rPr>
      <t xml:space="preserve">도면비례 추정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코어 하부벽</t>
    </r>
    <r>
      <rPr>
        <sz val="11"/>
        <rFont val="Arial"/>
        <family val="0"/>
        <charset val="1"/>
      </rPr>
      <t xml:space="preserve">9.27+</t>
    </r>
    <r>
      <rPr>
        <sz val="11"/>
        <rFont val="Noto Sans CJK SC"/>
        <family val="2"/>
      </rPr>
      <t xml:space="preserve">금고 전면</t>
    </r>
    <r>
      <rPr>
        <sz val="11"/>
        <rFont val="Arial"/>
        <family val="0"/>
        <charset val="1"/>
      </rPr>
      <t xml:space="preserve">1.9. </t>
    </r>
    <r>
      <rPr>
        <sz val="11"/>
        <rFont val="Noto Sans CJK SC"/>
        <family val="2"/>
      </rPr>
      <t xml:space="preserve">소회의실 전면 유리 제외 </t>
    </r>
    <r>
      <rPr>
        <sz val="11"/>
        <rFont val="Arial"/>
        <family val="0"/>
        <charset val="1"/>
      </rPr>
      <t xml:space="preserve">|| [v5 </t>
    </r>
    <r>
      <rPr>
        <sz val="11"/>
        <rFont val="Noto Sans CJK SC"/>
        <family val="2"/>
      </rPr>
      <t xml:space="preserve">수정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복도 시작을 </t>
    </r>
    <r>
      <rPr>
        <sz val="11"/>
        <rFont val="Arial"/>
        <family val="0"/>
        <charset val="1"/>
      </rPr>
      <t xml:space="preserve">F-2 </t>
    </r>
    <r>
      <rPr>
        <sz val="11"/>
        <rFont val="Noto Sans CJK SC"/>
        <family val="2"/>
      </rPr>
      <t xml:space="preserve">전이선</t>
    </r>
    <r>
      <rPr>
        <sz val="11"/>
        <rFont val="Arial"/>
        <family val="0"/>
        <charset val="1"/>
      </rPr>
      <t xml:space="preserve">(SW x=893)</t>
    </r>
    <r>
      <rPr>
        <sz val="11"/>
        <rFont val="Noto Sans CJK SC"/>
        <family val="2"/>
      </rPr>
      <t xml:space="preserve">으로 변경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길이 </t>
    </r>
    <r>
      <rPr>
        <sz val="11"/>
        <rFont val="Arial"/>
        <family val="0"/>
        <charset val="1"/>
      </rPr>
      <t xml:space="preserve">12.41m(13.7mm/px) x 2000 = 24.82. OFFICE </t>
    </r>
    <r>
      <rPr>
        <sz val="11"/>
        <rFont val="Noto Sans CJK SC"/>
        <family val="2"/>
      </rPr>
      <t xml:space="preserve">서측 보조구역과의 중복 </t>
    </r>
    <r>
      <rPr>
        <sz val="11"/>
        <rFont val="Arial"/>
        <family val="0"/>
        <charset val="1"/>
      </rPr>
      <t xml:space="preserve">1.0x2.0 </t>
    </r>
    <r>
      <rPr>
        <sz val="11"/>
        <rFont val="Noto Sans CJK SC"/>
        <family val="2"/>
      </rPr>
      <t xml:space="preserve">제거</t>
    </r>
    <r>
      <rPr>
        <sz val="11"/>
        <rFont val="Arial"/>
        <family val="0"/>
        <charset val="1"/>
      </rPr>
      <t xml:space="preserve">(R4). </t>
    </r>
    <r>
      <rPr>
        <sz val="11"/>
        <rFont val="Noto Sans CJK SC"/>
        <family val="2"/>
      </rPr>
      <t xml:space="preserve">걸레받이 </t>
    </r>
    <r>
      <rPr>
        <sz val="11"/>
        <rFont val="Arial"/>
        <family val="0"/>
        <charset val="1"/>
      </rPr>
      <t xml:space="preserve">11.2 </t>
    </r>
    <r>
      <rPr>
        <sz val="11"/>
        <rFont val="Noto Sans CJK SC"/>
        <family val="2"/>
      </rPr>
      <t xml:space="preserve">유지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</si>
  <si>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이중계산 수정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26.86-&gt;24.82. v4</t>
    </r>
    <r>
      <rPr>
        <sz val="11"/>
        <rFont val="Noto Sans CJK SC"/>
        <family val="2"/>
      </rPr>
      <t xml:space="preserve">가 복도 시작을 </t>
    </r>
    <r>
      <rPr>
        <sz val="11"/>
        <rFont val="Arial"/>
        <family val="0"/>
        <charset val="1"/>
      </rPr>
      <t xml:space="preserve">O.A RM </t>
    </r>
    <r>
      <rPr>
        <sz val="11"/>
        <rFont val="Noto Sans CJK SC"/>
        <family val="2"/>
      </rPr>
      <t xml:space="preserve">동벽</t>
    </r>
    <r>
      <rPr>
        <sz val="11"/>
        <rFont val="Arial"/>
        <family val="0"/>
        <charset val="1"/>
      </rPr>
      <t xml:space="preserve">(SW x=820)</t>
    </r>
    <r>
      <rPr>
        <sz val="11"/>
        <rFont val="Noto Sans CJK SC"/>
        <family val="2"/>
      </rPr>
      <t xml:space="preserve">으로 잡았으나 </t>
    </r>
    <r>
      <rPr>
        <sz val="11"/>
        <rFont val="Arial"/>
        <family val="0"/>
        <charset val="1"/>
      </rPr>
      <t xml:space="preserve">OFFICE(DT-03) </t>
    </r>
    <r>
      <rPr>
        <sz val="11"/>
        <rFont val="Noto Sans CJK SC"/>
        <family val="2"/>
      </rPr>
      <t xml:space="preserve">보조구역</t>
    </r>
    <r>
      <rPr>
        <sz val="11"/>
        <rFont val="Arial"/>
        <family val="0"/>
        <charset val="1"/>
      </rPr>
      <t xml:space="preserve">(x 698~893, y 2000</t>
    </r>
    <r>
      <rPr>
        <sz val="11"/>
        <rFont val="Noto Sans CJK SC"/>
        <family val="2"/>
      </rPr>
      <t xml:space="preserve">폭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이 </t>
    </r>
    <r>
      <rPr>
        <sz val="11"/>
        <rFont val="Arial"/>
        <family val="0"/>
        <charset val="1"/>
      </rPr>
      <t xml:space="preserve">F-2 </t>
    </r>
    <r>
      <rPr>
        <sz val="11"/>
        <rFont val="Noto Sans CJK SC"/>
        <family val="2"/>
      </rPr>
      <t xml:space="preserve">전이선</t>
    </r>
    <r>
      <rPr>
        <sz val="11"/>
        <rFont val="Arial"/>
        <family val="0"/>
        <charset val="1"/>
      </rPr>
      <t xml:space="preserve">(SW x=893)</t>
    </r>
    <r>
      <rPr>
        <sz val="11"/>
        <rFont val="Noto Sans CJK SC"/>
        <family val="2"/>
      </rPr>
      <t xml:space="preserve">까지 이미 들어가 있어 </t>
    </r>
    <r>
      <rPr>
        <sz val="11"/>
        <rFont val="Arial"/>
        <family val="0"/>
        <charset val="1"/>
      </rPr>
      <t xml:space="preserve">x 820~893 </t>
    </r>
    <r>
      <rPr>
        <sz val="11"/>
        <rFont val="Noto Sans CJK SC"/>
        <family val="2"/>
      </rPr>
      <t xml:space="preserve">구간 약</t>
    </r>
    <r>
      <rPr>
        <sz val="11"/>
        <rFont val="Arial"/>
        <family val="0"/>
        <charset val="1"/>
      </rPr>
      <t xml:space="preserve">1.0m x 2.0m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OFFICE</t>
    </r>
    <r>
      <rPr>
        <sz val="11"/>
        <rFont val="Noto Sans CJK SC"/>
        <family val="2"/>
      </rPr>
      <t xml:space="preserve">와 겹쳤음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복도는 </t>
    </r>
    <r>
      <rPr>
        <sz val="11"/>
        <rFont val="Arial"/>
        <family val="0"/>
        <charset val="1"/>
      </rPr>
      <t xml:space="preserve">F-2 </t>
    </r>
    <r>
      <rPr>
        <sz val="11"/>
        <rFont val="Noto Sans CJK SC"/>
        <family val="2"/>
      </rPr>
      <t xml:space="preserve">전이선</t>
    </r>
    <r>
      <rPr>
        <sz val="11"/>
        <rFont val="Arial"/>
        <family val="0"/>
        <charset val="1"/>
      </rPr>
      <t xml:space="preserve">(SW x=893)</t>
    </r>
    <r>
      <rPr>
        <sz val="11"/>
        <rFont val="Noto Sans CJK SC"/>
        <family val="2"/>
      </rPr>
      <t xml:space="preserve">부터 동측 </t>
    </r>
    <r>
      <rPr>
        <sz val="11"/>
        <rFont val="Arial"/>
        <family val="0"/>
        <charset val="1"/>
      </rPr>
      <t xml:space="preserve">F-2(SE x=603)</t>
    </r>
    <r>
      <rPr>
        <sz val="11"/>
        <rFont val="Noto Sans CJK SC"/>
        <family val="2"/>
      </rPr>
      <t xml:space="preserve">까지 약</t>
    </r>
    <r>
      <rPr>
        <sz val="11"/>
        <rFont val="Arial"/>
        <family val="0"/>
        <charset val="1"/>
      </rPr>
      <t xml:space="preserve">12.41m</t>
    </r>
    <r>
      <rPr>
        <sz val="11"/>
        <rFont val="Noto Sans CJK SC"/>
        <family val="2"/>
      </rPr>
      <t xml:space="preserve">로 정정</t>
    </r>
    <r>
      <rPr>
        <sz val="11"/>
        <rFont val="Arial"/>
        <family val="0"/>
        <charset val="1"/>
      </rPr>
      <t xml:space="preserve">. | v6: </t>
    </r>
    <r>
      <rPr>
        <sz val="11"/>
        <rFont val="Noto Sans CJK SC"/>
        <family val="2"/>
      </rPr>
      <t xml:space="preserve">외벽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창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접면 없음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무수치 북벽 </t>
    </r>
    <r>
      <rPr>
        <sz val="11"/>
        <rFont val="Arial"/>
        <family val="0"/>
        <charset val="1"/>
      </rPr>
      <t xml:space="preserve">-&gt; </t>
    </r>
    <r>
      <rPr>
        <sz val="11"/>
        <rFont val="Noto Sans CJK SC"/>
        <family val="2"/>
      </rPr>
      <t xml:space="preserve">띠 변경 없음</t>
    </r>
  </si>
  <si>
    <r>
      <rPr>
        <sz val="11"/>
        <rFont val="Arial"/>
        <family val="0"/>
        <charset val="1"/>
      </rPr>
      <t xml:space="preserve">CORRIDOR </t>
    </r>
    <r>
      <rPr>
        <sz val="11"/>
        <rFont val="Noto Sans CJK SC"/>
        <family val="2"/>
      </rPr>
      <t xml:space="preserve">동측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코어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인권팀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</si>
  <si>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2F_dimension_SE: 1600(</t>
    </r>
    <r>
      <rPr>
        <sz val="11"/>
        <rFont val="Noto Sans CJK SC"/>
        <family val="2"/>
      </rPr>
      <t xml:space="preserve">코어 동측 덕트 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인권팀 서벽 숫자 </t>
    </r>
    <r>
      <rPr>
        <sz val="11"/>
        <rFont val="Arial"/>
        <family val="0"/>
        <charset val="1"/>
      </rPr>
      <t xml:space="preserve">'1600') x </t>
    </r>
    <r>
      <rPr>
        <sz val="11"/>
        <rFont val="Noto Sans CJK SC"/>
        <family val="2"/>
      </rPr>
      <t xml:space="preserve">길이 약</t>
    </r>
    <r>
      <rPr>
        <sz val="11"/>
        <rFont val="Arial"/>
        <family val="0"/>
        <charset val="1"/>
      </rPr>
      <t xml:space="preserve">7.63m(</t>
    </r>
    <r>
      <rPr>
        <sz val="11"/>
        <rFont val="Noto Sans CJK SC"/>
        <family val="2"/>
      </rPr>
      <t xml:space="preserve">코어 상단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남측 복도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도면비례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코어 동측벽 </t>
    </r>
    <r>
      <rPr>
        <sz val="11"/>
        <rFont val="Arial"/>
        <family val="0"/>
        <charset val="1"/>
      </rPr>
      <t xml:space="preserve">6.5 (</t>
    </r>
    <r>
      <rPr>
        <sz val="11"/>
        <rFont val="Noto Sans CJK SC"/>
        <family val="2"/>
      </rPr>
      <t xml:space="preserve">인권팀 서측은 유리 가정 </t>
    </r>
    <r>
      <rPr>
        <sz val="11"/>
        <rFont val="Arial"/>
        <family val="0"/>
        <charset val="1"/>
      </rPr>
      <t xml:space="preserve">0) || [v5 </t>
    </r>
    <r>
      <rPr>
        <sz val="11"/>
        <rFont val="Noto Sans CJK SC"/>
        <family val="2"/>
      </rPr>
      <t xml:space="preserve">수정</t>
    </r>
    <r>
      <rPr>
        <sz val="11"/>
        <rFont val="Arial"/>
        <family val="0"/>
        <charset val="1"/>
      </rPr>
      <t xml:space="preserve">] 1600 x 7400 = 11.84. </t>
    </r>
    <r>
      <rPr>
        <sz val="11"/>
        <rFont val="Noto Sans CJK SC"/>
        <family val="2"/>
      </rPr>
      <t xml:space="preserve">남측 복도와 경계</t>
    </r>
    <r>
      <rPr>
        <sz val="11"/>
        <rFont val="Arial"/>
        <family val="0"/>
        <charset val="1"/>
      </rPr>
      <t xml:space="preserve">(SE y~452)</t>
    </r>
    <r>
      <rPr>
        <sz val="11"/>
        <rFont val="Noto Sans CJK SC"/>
        <family val="2"/>
      </rPr>
      <t xml:space="preserve">에서 겹치지 않음 확인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</si>
  <si>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길이 재측정 </t>
    </r>
    <r>
      <rPr>
        <sz val="11"/>
        <rFont val="Arial"/>
        <family val="0"/>
        <charset val="1"/>
      </rPr>
      <t xml:space="preserve">7.63-&gt;7.40m,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12.21-&gt;11.84. 2F_dimension_SE/NE</t>
    </r>
    <r>
      <rPr>
        <sz val="11"/>
        <rFont val="Noto Sans CJK SC"/>
        <family val="2"/>
      </rPr>
      <t xml:space="preserve">에서 코어 상단</t>
    </r>
    <r>
      <rPr>
        <sz val="11"/>
        <rFont val="Arial"/>
        <family val="0"/>
        <charset val="1"/>
      </rPr>
      <t xml:space="preserve">(NE y~790)~</t>
    </r>
    <r>
      <rPr>
        <sz val="11"/>
        <rFont val="Noto Sans CJK SC"/>
        <family val="2"/>
      </rPr>
      <t xml:space="preserve">남측 복도 상단</t>
    </r>
    <r>
      <rPr>
        <sz val="11"/>
        <rFont val="Arial"/>
        <family val="0"/>
        <charset val="1"/>
      </rPr>
      <t xml:space="preserve">(SE y~452)</t>
    </r>
    <r>
      <rPr>
        <sz val="11"/>
        <rFont val="Noto Sans CJK SC"/>
        <family val="2"/>
      </rPr>
      <t xml:space="preserve">을 </t>
    </r>
    <r>
      <rPr>
        <sz val="11"/>
        <rFont val="Arial"/>
        <family val="0"/>
        <charset val="1"/>
      </rPr>
      <t xml:space="preserve">13.7mm/px</t>
    </r>
    <r>
      <rPr>
        <sz val="11"/>
        <rFont val="Noto Sans CJK SC"/>
        <family val="2"/>
      </rPr>
      <t xml:space="preserve">로 재면 약</t>
    </r>
    <r>
      <rPr>
        <sz val="11"/>
        <rFont val="Arial"/>
        <family val="0"/>
        <charset val="1"/>
      </rPr>
      <t xml:space="preserve">7.4m. </t>
    </r>
    <r>
      <rPr>
        <sz val="11"/>
        <rFont val="Noto Sans CJK SC"/>
        <family val="2"/>
      </rPr>
      <t xml:space="preserve">인권팀 외곽 세로 </t>
    </r>
    <r>
      <rPr>
        <sz val="11"/>
        <rFont val="Arial"/>
        <family val="0"/>
        <charset val="1"/>
      </rPr>
      <t xml:space="preserve">7400</t>
    </r>
    <r>
      <rPr>
        <sz val="11"/>
        <rFont val="Noto Sans CJK SC"/>
        <family val="2"/>
      </rPr>
      <t xml:space="preserve">과도 정합</t>
    </r>
    <r>
      <rPr>
        <sz val="11"/>
        <rFont val="Arial"/>
        <family val="0"/>
        <charset val="1"/>
      </rPr>
      <t xml:space="preserve">. | v6: </t>
    </r>
    <r>
      <rPr>
        <sz val="11"/>
        <rFont val="Noto Sans CJK SC"/>
        <family val="2"/>
      </rPr>
      <t xml:space="preserve">외벽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창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접면 없음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무수치 북벽 </t>
    </r>
    <r>
      <rPr>
        <sz val="11"/>
        <rFont val="Arial"/>
        <family val="0"/>
        <charset val="1"/>
      </rPr>
      <t xml:space="preserve">-&gt; </t>
    </r>
    <r>
      <rPr>
        <sz val="11"/>
        <rFont val="Noto Sans CJK SC"/>
        <family val="2"/>
      </rPr>
      <t xml:space="preserve">띠 변경 없음</t>
    </r>
  </si>
  <si>
    <r>
      <rPr>
        <sz val="11"/>
        <rFont val="Arial"/>
        <family val="0"/>
        <charset val="1"/>
      </rPr>
      <t xml:space="preserve">ELE'V HALL + </t>
    </r>
    <r>
      <rPr>
        <sz val="11"/>
        <rFont val="Noto Sans CJK SC"/>
        <family val="2"/>
      </rPr>
      <t xml:space="preserve">북측 홀</t>
    </r>
  </si>
  <si>
    <r>
      <rPr>
        <sz val="11"/>
        <rFont val="Arial"/>
        <family val="0"/>
        <charset val="1"/>
      </rPr>
      <t xml:space="preserve">2F_dimension_NE: </t>
    </r>
    <r>
      <rPr>
        <sz val="11"/>
        <rFont val="Noto Sans CJK SC"/>
        <family val="2"/>
      </rPr>
      <t xml:space="preserve">홀 북동부 </t>
    </r>
    <r>
      <rPr>
        <sz val="11"/>
        <rFont val="Arial"/>
        <family val="0"/>
        <charset val="1"/>
      </rPr>
      <t xml:space="preserve">5413(</t>
    </r>
    <r>
      <rPr>
        <sz val="11"/>
        <rFont val="Noto Sans CJK SC"/>
        <family val="2"/>
      </rPr>
      <t xml:space="preserve">화장실</t>
    </r>
    <r>
      <rPr>
        <sz val="11"/>
        <rFont val="Arial"/>
        <family val="0"/>
        <charset val="1"/>
      </rPr>
      <t xml:space="preserve">M </t>
    </r>
    <r>
      <rPr>
        <sz val="11"/>
        <rFont val="Noto Sans CJK SC"/>
        <family val="2"/>
      </rPr>
      <t xml:space="preserve">동측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여직원 동벽</t>
    </r>
    <r>
      <rPr>
        <sz val="11"/>
        <rFont val="Arial"/>
        <family val="0"/>
        <charset val="1"/>
      </rPr>
      <t xml:space="preserve">) x 2000(</t>
    </r>
    <r>
      <rPr>
        <sz val="11"/>
        <rFont val="Noto Sans CJK SC"/>
        <family val="2"/>
      </rPr>
      <t xml:space="preserve">여직원 하단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인권팀 상단 </t>
    </r>
    <r>
      <rPr>
        <sz val="11"/>
        <rFont val="Arial"/>
        <family val="0"/>
        <charset val="1"/>
      </rPr>
      <t xml:space="preserve">'2000') = 10.83; </t>
    </r>
    <r>
      <rPr>
        <sz val="11"/>
        <rFont val="Noto Sans CJK SC"/>
        <family val="2"/>
      </rPr>
      <t xml:space="preserve">화장실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코어 상단 띠 </t>
    </r>
    <r>
      <rPr>
        <sz val="11"/>
        <rFont val="Arial"/>
        <family val="0"/>
        <charset val="1"/>
      </rPr>
      <t xml:space="preserve">6.49x1.51 = 9.80 (</t>
    </r>
    <r>
      <rPr>
        <sz val="11"/>
        <rFont val="Noto Sans CJK SC"/>
        <family val="2"/>
      </rPr>
      <t xml:space="preserve">폭은 그리드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도면비례</t>
    </r>
    <r>
      <rPr>
        <sz val="11"/>
        <rFont val="Arial"/>
        <family val="0"/>
        <charset val="1"/>
      </rPr>
      <t xml:space="preserve">); ELE'V </t>
    </r>
    <r>
      <rPr>
        <sz val="11"/>
        <rFont val="Noto Sans CJK SC"/>
        <family val="2"/>
      </rPr>
      <t xml:space="preserve">서측 </t>
    </r>
    <r>
      <rPr>
        <sz val="11"/>
        <rFont val="Arial"/>
        <family val="0"/>
        <charset val="1"/>
      </rPr>
      <t xml:space="preserve">1.55x2.67 - </t>
    </r>
    <r>
      <rPr>
        <sz val="11"/>
        <rFont val="Noto Sans CJK SC"/>
        <family val="2"/>
      </rPr>
      <t xml:space="preserve">원형기둥</t>
    </r>
    <r>
      <rPr>
        <sz val="11"/>
        <rFont val="Arial"/>
        <family val="0"/>
        <charset val="1"/>
      </rPr>
      <t xml:space="preserve">(0.4) = 3.74 =&gt; 24.37. </t>
    </r>
    <r>
      <rPr>
        <sz val="11"/>
        <rFont val="Noto Sans CJK SC"/>
        <family val="2"/>
      </rPr>
      <t xml:space="preserve">걸레받이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화장실 하부벽 약</t>
    </r>
    <r>
      <rPr>
        <sz val="11"/>
        <rFont val="Arial"/>
        <family val="0"/>
        <charset val="1"/>
      </rPr>
      <t xml:space="preserve">11.3 + </t>
    </r>
    <r>
      <rPr>
        <sz val="11"/>
        <rFont val="Noto Sans CJK SC"/>
        <family val="2"/>
      </rPr>
      <t xml:space="preserve">코어 상단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인권팀 상단 </t>
    </r>
    <r>
      <rPr>
        <sz val="11"/>
        <rFont val="Arial"/>
        <family val="0"/>
        <charset val="1"/>
      </rPr>
      <t xml:space="preserve">3.3 + </t>
    </r>
    <r>
      <rPr>
        <sz val="11"/>
        <rFont val="Noto Sans CJK SC"/>
        <family val="2"/>
      </rPr>
      <t xml:space="preserve">서측 </t>
    </r>
    <r>
      <rPr>
        <sz val="11"/>
        <rFont val="Arial"/>
        <family val="0"/>
        <charset val="1"/>
      </rPr>
      <t xml:space="preserve">3.0 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17.6 || [v5 </t>
    </r>
    <r>
      <rPr>
        <sz val="11"/>
        <rFont val="Noto Sans CJK SC"/>
        <family val="2"/>
      </rPr>
      <t xml:space="preserve">수정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북동부 </t>
    </r>
    <r>
      <rPr>
        <sz val="11"/>
        <rFont val="Arial"/>
        <family val="0"/>
        <charset val="1"/>
      </rPr>
      <t xml:space="preserve">5413x2000=10.83 + </t>
    </r>
    <r>
      <rPr>
        <sz val="11"/>
        <rFont val="Noto Sans CJK SC"/>
        <family val="2"/>
      </rPr>
      <t xml:space="preserve">화장실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코어 띠 </t>
    </r>
    <r>
      <rPr>
        <sz val="11"/>
        <rFont val="Arial"/>
        <family val="0"/>
        <charset val="1"/>
      </rPr>
      <t xml:space="preserve">6.49x1.51=9.80 + ELE'V </t>
    </r>
    <r>
      <rPr>
        <sz val="11"/>
        <rFont val="Noto Sans CJK SC"/>
        <family val="2"/>
      </rPr>
      <t xml:space="preserve">서측 </t>
    </r>
    <r>
      <rPr>
        <sz val="11"/>
        <rFont val="Arial"/>
        <family val="0"/>
        <charset val="1"/>
      </rPr>
      <t xml:space="preserve">2.8x2.67-0.4=7.08 =&gt; 27.71.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: v4 17.6 + ELE'V </t>
    </r>
    <r>
      <rPr>
        <sz val="11"/>
        <rFont val="Noto Sans CJK SC"/>
        <family val="2"/>
      </rPr>
      <t xml:space="preserve">박스 서벽 </t>
    </r>
    <r>
      <rPr>
        <sz val="11"/>
        <rFont val="Arial"/>
        <family val="0"/>
        <charset val="1"/>
      </rPr>
      <t xml:space="preserve">2.7.</t>
    </r>
  </si>
  <si>
    <r>
      <rPr>
        <sz val="11"/>
        <rFont val="Arial"/>
        <family val="0"/>
        <charset val="1"/>
      </rPr>
      <t xml:space="preserve">ELE'V </t>
    </r>
    <r>
      <rPr>
        <sz val="11"/>
        <rFont val="Noto Sans CJK SC"/>
        <family val="2"/>
      </rPr>
      <t xml:space="preserve">서측 블록 폭 오류 수정</t>
    </r>
    <r>
      <rPr>
        <sz val="11"/>
        <rFont val="Arial"/>
        <family val="0"/>
        <charset val="1"/>
      </rPr>
      <t xml:space="preserve">. v4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1.55m</t>
    </r>
    <r>
      <rPr>
        <sz val="11"/>
        <rFont val="Noto Sans CJK SC"/>
        <family val="2"/>
      </rPr>
      <t xml:space="preserve">로 잡았으나 </t>
    </r>
    <r>
      <rPr>
        <sz val="11"/>
        <rFont val="Arial"/>
        <family val="0"/>
        <charset val="1"/>
      </rPr>
      <t xml:space="preserve">2F_dimension_NW</t>
    </r>
    <r>
      <rPr>
        <sz val="11"/>
        <rFont val="Noto Sans CJK SC"/>
        <family val="2"/>
      </rPr>
      <t xml:space="preserve">에서 서측 칸막이</t>
    </r>
    <r>
      <rPr>
        <sz val="11"/>
        <rFont val="Arial"/>
        <family val="0"/>
        <charset val="1"/>
      </rPr>
      <t xml:space="preserve">(x~975)~ELE'V </t>
    </r>
    <r>
      <rPr>
        <sz val="11"/>
        <rFont val="Noto Sans CJK SC"/>
        <family val="2"/>
      </rPr>
      <t xml:space="preserve">박스 서벽</t>
    </r>
    <r>
      <rPr>
        <sz val="11"/>
        <rFont val="Arial"/>
        <family val="0"/>
        <charset val="1"/>
      </rPr>
      <t xml:space="preserve">(x~1195)</t>
    </r>
    <r>
      <rPr>
        <sz val="11"/>
        <rFont val="Noto Sans CJK SC"/>
        <family val="2"/>
      </rPr>
      <t xml:space="preserve">이 약</t>
    </r>
    <r>
      <rPr>
        <sz val="11"/>
        <rFont val="Arial"/>
        <family val="0"/>
        <charset val="1"/>
      </rPr>
      <t xml:space="preserve">215px x 13.7 = 2.9m(</t>
    </r>
    <r>
      <rPr>
        <sz val="11"/>
        <rFont val="Noto Sans CJK SC"/>
        <family val="2"/>
      </rPr>
      <t xml:space="preserve">안목 약</t>
    </r>
    <r>
      <rPr>
        <sz val="11"/>
        <rFont val="Arial"/>
        <family val="0"/>
        <charset val="1"/>
      </rPr>
      <t xml:space="preserve">2.8m, 3F </t>
    </r>
    <r>
      <rPr>
        <sz val="11"/>
        <rFont val="Noto Sans CJK SC"/>
        <family val="2"/>
      </rPr>
      <t xml:space="preserve">동일 구조에서 </t>
    </r>
    <r>
      <rPr>
        <sz val="11"/>
        <rFont val="Arial"/>
        <family val="0"/>
        <charset val="1"/>
      </rPr>
      <t xml:space="preserve">v4</t>
    </r>
    <r>
      <rPr>
        <sz val="11"/>
        <rFont val="Noto Sans CJK SC"/>
        <family val="2"/>
      </rPr>
      <t xml:space="preserve">도 </t>
    </r>
    <r>
      <rPr>
        <sz val="11"/>
        <rFont val="Arial"/>
        <family val="0"/>
        <charset val="1"/>
      </rPr>
      <t xml:space="preserve">2.8 </t>
    </r>
    <r>
      <rPr>
        <sz val="11"/>
        <rFont val="Noto Sans CJK SC"/>
        <family val="2"/>
      </rPr>
      <t xml:space="preserve">사용</t>
    </r>
    <r>
      <rPr>
        <sz val="11"/>
        <rFont val="Arial"/>
        <family val="0"/>
        <charset val="1"/>
      </rPr>
      <t xml:space="preserve">). 2.8 x 2.67 - </t>
    </r>
    <r>
      <rPr>
        <sz val="11"/>
        <rFont val="Noto Sans CJK SC"/>
        <family val="2"/>
      </rPr>
      <t xml:space="preserve">원형기둥 </t>
    </r>
    <r>
      <rPr>
        <sz val="11"/>
        <rFont val="Arial"/>
        <family val="0"/>
        <charset val="1"/>
      </rPr>
      <t xml:space="preserve">0.4 = 7.08 </t>
    </r>
    <r>
      <rPr>
        <sz val="11"/>
        <rFont val="Noto Sans CJK SC"/>
        <family val="2"/>
      </rPr>
      <t xml:space="preserve">로 정정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24.36-&gt;27.71. </t>
    </r>
    <r>
      <rPr>
        <sz val="11"/>
        <rFont val="Noto Sans CJK SC"/>
        <family val="2"/>
      </rPr>
      <t xml:space="preserve">걸레받이는 </t>
    </r>
    <r>
      <rPr>
        <sz val="11"/>
        <rFont val="Arial"/>
        <family val="0"/>
        <charset val="1"/>
      </rPr>
      <t xml:space="preserve">ELE'V </t>
    </r>
    <r>
      <rPr>
        <sz val="11"/>
        <rFont val="Noto Sans CJK SC"/>
        <family val="2"/>
      </rPr>
      <t xml:space="preserve">박스 서벽 약</t>
    </r>
    <r>
      <rPr>
        <sz val="11"/>
        <rFont val="Arial"/>
        <family val="0"/>
        <charset val="1"/>
      </rPr>
      <t xml:space="preserve">2.7m </t>
    </r>
    <r>
      <rPr>
        <sz val="11"/>
        <rFont val="Noto Sans CJK SC"/>
        <family val="2"/>
      </rPr>
      <t xml:space="preserve">추가해 </t>
    </r>
    <r>
      <rPr>
        <sz val="11"/>
        <rFont val="Arial"/>
        <family val="0"/>
        <charset val="1"/>
      </rPr>
      <t xml:space="preserve">17.6-&gt;20.3. | v6: </t>
    </r>
    <r>
      <rPr>
        <sz val="11"/>
        <rFont val="Noto Sans CJK SC"/>
        <family val="2"/>
      </rPr>
      <t xml:space="preserve">외벽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창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접면 없음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무수치 북벽 </t>
    </r>
    <r>
      <rPr>
        <sz val="11"/>
        <rFont val="Arial"/>
        <family val="0"/>
        <charset val="1"/>
      </rPr>
      <t xml:space="preserve">-&gt; </t>
    </r>
    <r>
      <rPr>
        <sz val="11"/>
        <rFont val="Noto Sans CJK SC"/>
        <family val="2"/>
      </rPr>
      <t xml:space="preserve">띠 변경 없음</t>
    </r>
  </si>
  <si>
    <t xml:space="preserve">인권팀</t>
  </si>
  <si>
    <r>
      <rPr>
        <sz val="11"/>
        <rFont val="Arial"/>
        <family val="0"/>
        <charset val="1"/>
      </rPr>
      <t xml:space="preserve">2F_dimension_SE: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3490(</t>
    </r>
    <r>
      <rPr>
        <sz val="11"/>
        <rFont val="Noto Sans CJK SC"/>
        <family val="2"/>
      </rPr>
      <t xml:space="preserve">안목</t>
    </r>
    <r>
      <rPr>
        <sz val="11"/>
        <rFont val="Arial"/>
        <family val="0"/>
        <charset val="1"/>
      </rPr>
      <t xml:space="preserve">, 115 </t>
    </r>
    <r>
      <rPr>
        <sz val="11"/>
        <rFont val="Noto Sans CJK SC"/>
        <family val="2"/>
      </rPr>
      <t xml:space="preserve">벽 양쪽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5690+980+500=7170 (</t>
    </r>
    <r>
      <rPr>
        <sz val="11"/>
        <rFont val="Noto Sans CJK SC"/>
        <family val="2"/>
      </rPr>
      <t xml:space="preserve">외곽 </t>
    </r>
    <r>
      <rPr>
        <sz val="11"/>
        <rFont val="Arial"/>
        <family val="0"/>
        <charset val="1"/>
      </rPr>
      <t xml:space="preserve">7400-115x2). 3.49x7.17.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상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하 고정벽 </t>
    </r>
    <r>
      <rPr>
        <sz val="11"/>
        <rFont val="Arial"/>
        <family val="0"/>
        <charset val="1"/>
      </rPr>
      <t xml:space="preserve">3.49x2 (</t>
    </r>
    <r>
      <rPr>
        <sz val="11"/>
        <rFont val="Noto Sans CJK SC"/>
        <family val="2"/>
      </rPr>
      <t xml:space="preserve">좌우는 얇은 단선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유리 가정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문 </t>
    </r>
    <r>
      <rPr>
        <sz val="11"/>
        <rFont val="Arial"/>
        <family val="0"/>
        <charset val="1"/>
      </rPr>
      <t xml:space="preserve">980 </t>
    </r>
    <r>
      <rPr>
        <sz val="11"/>
        <rFont val="Noto Sans CJK SC"/>
        <family val="2"/>
      </rPr>
      <t xml:space="preserve">동측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</si>
  <si>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OFFICE (</t>
    </r>
    <r>
      <rPr>
        <sz val="11"/>
        <rFont val="Noto Sans CJK SC"/>
        <family val="2"/>
      </rPr>
      <t xml:space="preserve">서측</t>
    </r>
    <r>
      <rPr>
        <sz val="11"/>
        <rFont val="Arial"/>
        <family val="0"/>
        <charset val="1"/>
      </rPr>
      <t xml:space="preserve">, 03 DT)</t>
    </r>
  </si>
  <si>
    <t xml:space="preserve">DT-03</t>
  </si>
  <si>
    <r>
      <rPr>
        <sz val="11"/>
        <rFont val="Arial"/>
        <family val="0"/>
        <charset val="1"/>
      </rPr>
      <t xml:space="preserve">2F_dimension_NW: 450|6830(</t>
    </r>
    <r>
      <rPr>
        <sz val="11"/>
        <rFont val="Noto Sans CJK SC"/>
        <family val="2"/>
      </rPr>
      <t xml:space="preserve">좌측 안목면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서버실</t>
    </r>
    <r>
      <rPr>
        <sz val="11"/>
        <rFont val="Arial"/>
        <family val="0"/>
        <charset val="1"/>
      </rPr>
      <t xml:space="preserve">/INFO</t>
    </r>
    <r>
      <rPr>
        <sz val="11"/>
        <rFont val="Noto Sans CJK SC"/>
        <family val="2"/>
      </rPr>
      <t xml:space="preserve">벽</t>
    </r>
    <r>
      <rPr>
        <sz val="11"/>
        <rFont val="Arial"/>
        <family val="0"/>
        <charset val="1"/>
      </rPr>
      <t xml:space="preserve">) x (2661+980+270+3078=6989) = 47.73; 2F_dimension_SW: 850+6350=7200(</t>
    </r>
    <r>
      <rPr>
        <sz val="11"/>
        <rFont val="Noto Sans CJK SC"/>
        <family val="2"/>
      </rPr>
      <t xml:space="preserve">안목</t>
    </r>
    <r>
      <rPr>
        <sz val="11"/>
        <rFont val="Arial"/>
        <family val="0"/>
        <charset val="1"/>
      </rPr>
      <t xml:space="preserve">~O.A RM </t>
    </r>
    <r>
      <rPr>
        <sz val="11"/>
        <rFont val="Noto Sans CJK SC"/>
        <family val="2"/>
      </rPr>
      <t xml:space="preserve">서측벽</t>
    </r>
    <r>
      <rPr>
        <sz val="11"/>
        <rFont val="Arial"/>
        <family val="0"/>
        <charset val="1"/>
      </rPr>
      <t xml:space="preserve">) x 12161(19150-6989) = 87.56; O.A RM </t>
    </r>
    <r>
      <rPr>
        <sz val="11"/>
        <rFont val="Noto Sans CJK SC"/>
        <family val="2"/>
      </rPr>
      <t xml:space="preserve">남측 보조구역 </t>
    </r>
    <r>
      <rPr>
        <sz val="11"/>
        <rFont val="Arial"/>
        <family val="0"/>
        <charset val="1"/>
      </rPr>
      <t xml:space="preserve">2.69x2.0(F-2 </t>
    </r>
    <r>
      <rPr>
        <sz val="11"/>
        <rFont val="Noto Sans CJK SC"/>
        <family val="2"/>
      </rPr>
      <t xml:space="preserve">전이선까지</t>
    </r>
    <r>
      <rPr>
        <sz val="11"/>
        <rFont val="Arial"/>
        <family val="0"/>
        <charset val="1"/>
      </rPr>
      <t xml:space="preserve">) 5.38 + </t>
    </r>
    <r>
      <rPr>
        <sz val="11"/>
        <rFont val="Noto Sans CJK SC"/>
        <family val="2"/>
      </rPr>
      <t xml:space="preserve">소회의실</t>
    </r>
    <r>
      <rPr>
        <sz val="11"/>
        <rFont val="Arial"/>
        <family val="0"/>
        <charset val="1"/>
      </rPr>
      <t xml:space="preserve">-1 </t>
    </r>
    <r>
      <rPr>
        <sz val="11"/>
        <rFont val="Noto Sans CJK SC"/>
        <family val="2"/>
      </rPr>
      <t xml:space="preserve">서측벽까지 </t>
    </r>
    <r>
      <rPr>
        <sz val="11"/>
        <rFont val="Arial"/>
        <family val="0"/>
        <charset val="1"/>
      </rPr>
      <t xml:space="preserve">1.71x3.56=6.09 + INFO/O.A </t>
    </r>
    <r>
      <rPr>
        <sz val="11"/>
        <rFont val="Noto Sans CJK SC"/>
        <family val="2"/>
      </rPr>
      <t xml:space="preserve">사이 </t>
    </r>
    <r>
      <rPr>
        <sz val="11"/>
        <rFont val="Arial"/>
        <family val="0"/>
        <charset val="1"/>
      </rPr>
      <t xml:space="preserve">1.71x1.99=3.40. </t>
    </r>
    <r>
      <rPr>
        <sz val="11"/>
        <rFont val="Noto Sans CJK SC"/>
        <family val="2"/>
      </rPr>
      <t xml:space="preserve">합</t>
    </r>
    <r>
      <rPr>
        <sz val="11"/>
        <rFont val="Arial"/>
        <family val="0"/>
        <charset val="1"/>
      </rPr>
      <t xml:space="preserve">150.15 - </t>
    </r>
    <r>
      <rPr>
        <sz val="11"/>
        <rFont val="Noto Sans CJK SC"/>
        <family val="2"/>
      </rPr>
      <t xml:space="preserve">독립기둥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0.5x0.5) 0.52 = 149.6. </t>
    </r>
    <r>
      <rPr>
        <sz val="11"/>
        <rFont val="Noto Sans CJK SC"/>
        <family val="2"/>
      </rPr>
      <t xml:space="preserve">서버실</t>
    </r>
    <r>
      <rPr>
        <sz val="11"/>
        <rFont val="Arial"/>
        <family val="0"/>
        <charset val="1"/>
      </rPr>
      <t xml:space="preserve">/INFO'MATION(</t>
    </r>
    <r>
      <rPr>
        <sz val="11"/>
        <rFont val="Noto Sans CJK SC"/>
        <family val="2"/>
      </rPr>
      <t xml:space="preserve">무코드</t>
    </r>
    <r>
      <rPr>
        <sz val="11"/>
        <rFont val="Arial"/>
        <family val="0"/>
        <charset val="1"/>
      </rPr>
      <t xml:space="preserve">)·O.A RM(</t>
    </r>
    <r>
      <rPr>
        <sz val="11"/>
        <rFont val="Noto Sans CJK SC"/>
        <family val="2"/>
      </rPr>
      <t xml:space="preserve">별도</t>
    </r>
    <r>
      <rPr>
        <sz val="11"/>
        <rFont val="Arial"/>
        <family val="0"/>
        <charset val="1"/>
      </rPr>
      <t xml:space="preserve">)·</t>
    </r>
    <r>
      <rPr>
        <sz val="11"/>
        <rFont val="Noto Sans CJK SC"/>
        <family val="2"/>
      </rPr>
      <t xml:space="preserve">복도 제외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북벽</t>
    </r>
    <r>
      <rPr>
        <sz val="11"/>
        <rFont val="Arial"/>
        <family val="0"/>
        <charset val="1"/>
      </rPr>
      <t xml:space="preserve">6.83+</t>
    </r>
    <r>
      <rPr>
        <sz val="11"/>
        <rFont val="Noto Sans CJK SC"/>
        <family val="2"/>
      </rPr>
      <t xml:space="preserve">외벽 불투명구간 약</t>
    </r>
    <r>
      <rPr>
        <sz val="11"/>
        <rFont val="Arial"/>
        <family val="0"/>
        <charset val="1"/>
      </rPr>
      <t xml:space="preserve">7.1+</t>
    </r>
    <r>
      <rPr>
        <sz val="11"/>
        <rFont val="Noto Sans CJK SC"/>
        <family val="2"/>
      </rPr>
      <t xml:space="preserve">서버실</t>
    </r>
    <r>
      <rPr>
        <sz val="11"/>
        <rFont val="Arial"/>
        <family val="0"/>
        <charset val="1"/>
      </rPr>
      <t xml:space="preserve">/INFO </t>
    </r>
    <r>
      <rPr>
        <sz val="11"/>
        <rFont val="Noto Sans CJK SC"/>
        <family val="2"/>
      </rPr>
      <t xml:space="preserve">서측벽</t>
    </r>
    <r>
      <rPr>
        <sz val="11"/>
        <rFont val="Arial"/>
        <family val="0"/>
        <charset val="1"/>
      </rPr>
      <t xml:space="preserve">6.99+O.A RM </t>
    </r>
    <r>
      <rPr>
        <sz val="11"/>
        <rFont val="Noto Sans CJK SC"/>
        <family val="2"/>
      </rPr>
      <t xml:space="preserve">서측벽</t>
    </r>
    <r>
      <rPr>
        <sz val="11"/>
        <rFont val="Arial"/>
        <family val="0"/>
        <charset val="1"/>
      </rPr>
      <t xml:space="preserve">(1441x2)2.88+O.A </t>
    </r>
    <r>
      <rPr>
        <sz val="11"/>
        <rFont val="Noto Sans CJK SC"/>
        <family val="2"/>
      </rPr>
      <t xml:space="preserve">북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남벽 </t>
    </r>
    <r>
      <rPr>
        <sz val="11"/>
        <rFont val="Arial"/>
        <family val="0"/>
        <charset val="1"/>
      </rPr>
      <t xml:space="preserve">3.6+</t>
    </r>
    <r>
      <rPr>
        <sz val="11"/>
        <rFont val="Noto Sans CJK SC"/>
        <family val="2"/>
      </rPr>
      <t xml:space="preserve">소회의실</t>
    </r>
    <r>
      <rPr>
        <sz val="11"/>
        <rFont val="Arial"/>
        <family val="0"/>
        <charset val="1"/>
      </rPr>
      <t xml:space="preserve">-1 </t>
    </r>
    <r>
      <rPr>
        <sz val="11"/>
        <rFont val="Noto Sans CJK SC"/>
        <family val="2"/>
      </rPr>
      <t xml:space="preserve">서측벽</t>
    </r>
    <r>
      <rPr>
        <sz val="11"/>
        <rFont val="Arial"/>
        <family val="0"/>
        <charset val="1"/>
      </rPr>
      <t xml:space="preserve">3.6+</t>
    </r>
    <r>
      <rPr>
        <sz val="11"/>
        <rFont val="Noto Sans CJK SC"/>
        <family val="2"/>
      </rPr>
      <t xml:space="preserve">남측 불투명벽 </t>
    </r>
    <r>
      <rPr>
        <sz val="11"/>
        <rFont val="Arial"/>
        <family val="0"/>
        <charset val="1"/>
      </rPr>
      <t xml:space="preserve">6.1 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37.1 || [v6 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] 2F_dimension_NW '450'(</t>
    </r>
    <r>
      <rPr>
        <sz val="11"/>
        <rFont val="Noto Sans CJK SC"/>
        <family val="2"/>
      </rPr>
      <t xml:space="preserve">창 내면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마감선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서측 길이 약</t>
    </r>
    <r>
      <rPr>
        <sz val="11"/>
        <rFont val="Arial"/>
        <family val="0"/>
        <charset val="1"/>
      </rPr>
      <t xml:space="preserve">18.64m(</t>
    </r>
    <r>
      <rPr>
        <sz val="11"/>
        <rFont val="Noto Sans CJK SC"/>
        <family val="2"/>
      </rPr>
      <t xml:space="preserve">그리드</t>
    </r>
    <r>
      <rPr>
        <sz val="11"/>
        <rFont val="Arial"/>
        <family val="0"/>
        <charset val="1"/>
      </rPr>
      <t xml:space="preserve">E~</t>
    </r>
    <r>
      <rPr>
        <sz val="11"/>
        <rFont val="Noto Sans CJK SC"/>
        <family val="2"/>
      </rPr>
      <t xml:space="preserve">마감 남단</t>
    </r>
    <r>
      <rPr>
        <sz val="11"/>
        <rFont val="Arial"/>
        <family val="0"/>
        <charset val="1"/>
      </rPr>
      <t xml:space="preserve">) + 2F_dimension_SW '555'(</t>
    </r>
    <r>
      <rPr>
        <sz val="11"/>
        <rFont val="Noto Sans CJK SC"/>
        <family val="2"/>
      </rPr>
      <t xml:space="preserve">마감선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남측 창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남측 길이 약</t>
    </r>
    <r>
      <rPr>
        <sz val="11"/>
        <rFont val="Arial"/>
        <family val="0"/>
        <charset val="1"/>
      </rPr>
      <t xml:space="preserve">9.21m(</t>
    </r>
    <r>
      <rPr>
        <sz val="11"/>
        <rFont val="Noto Sans CJK SC"/>
        <family val="2"/>
      </rPr>
      <t xml:space="preserve">서측 창 내면</t>
    </r>
    <r>
      <rPr>
        <sz val="11"/>
        <rFont val="Arial"/>
        <family val="0"/>
        <charset val="1"/>
      </rPr>
      <t xml:space="preserve">~O.A</t>
    </r>
    <r>
      <rPr>
        <sz val="11"/>
        <rFont val="Noto Sans CJK SC"/>
        <family val="2"/>
      </rPr>
      <t xml:space="preserve">측 보조벽 </t>
    </r>
    <r>
      <rPr>
        <sz val="11"/>
        <rFont val="Arial"/>
        <family val="0"/>
        <charset val="1"/>
      </rPr>
      <t xml:space="preserve">x810) - SW </t>
    </r>
    <r>
      <rPr>
        <sz val="11"/>
        <rFont val="Noto Sans CJK SC"/>
        <family val="2"/>
      </rPr>
      <t xml:space="preserve">모서리 기둥 약</t>
    </r>
    <r>
      <rPr>
        <sz val="11"/>
        <rFont val="Arial"/>
        <family val="0"/>
        <charset val="1"/>
      </rPr>
      <t xml:space="preserve">0.5x0.41. </t>
    </r>
    <r>
      <rPr>
        <sz val="11"/>
        <rFont val="Noto Sans CJK SC"/>
        <family val="2"/>
      </rPr>
      <t xml:space="preserve">계산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서측 </t>
    </r>
    <r>
      <rPr>
        <sz val="11"/>
        <rFont val="Arial"/>
        <family val="0"/>
        <charset val="1"/>
      </rPr>
      <t xml:space="preserve">450x18.64=+8.39 +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555x9.21=+5.11 + </t>
    </r>
    <r>
      <rPr>
        <sz val="11"/>
        <rFont val="Noto Sans CJK SC"/>
        <family val="2"/>
      </rPr>
      <t xml:space="preserve">기둥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=-0.21 = +13.29. </t>
    </r>
    <r>
      <rPr>
        <sz val="11"/>
        <rFont val="Noto Sans CJK SC"/>
        <family val="2"/>
      </rPr>
      <t xml:space="preserve">걸레받이는 창 하부</t>
    </r>
    <r>
      <rPr>
        <sz val="11"/>
        <rFont val="Arial"/>
        <family val="0"/>
        <charset val="1"/>
      </rPr>
      <t xml:space="preserve">(FCU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라 변경 없음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</si>
  <si>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창측 띠 </t>
    </r>
    <r>
      <rPr>
        <sz val="11"/>
        <rFont val="Arial"/>
        <family val="0"/>
        <charset val="1"/>
      </rPr>
      <t xml:space="preserve">+13.29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(2F_dimension_NW '450'(</t>
    </r>
    <r>
      <rPr>
        <sz val="11"/>
        <rFont val="Noto Sans CJK SC"/>
        <family val="2"/>
      </rPr>
      <t xml:space="preserve">창 내면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마감선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서측 길이 약</t>
    </r>
    <r>
      <rPr>
        <sz val="11"/>
        <rFont val="Arial"/>
        <family val="0"/>
        <charset val="1"/>
      </rPr>
      <t xml:space="preserve">18.64m(</t>
    </r>
    <r>
      <rPr>
        <sz val="11"/>
        <rFont val="Noto Sans CJK SC"/>
        <family val="2"/>
      </rPr>
      <t xml:space="preserve">그리드</t>
    </r>
    <r>
      <rPr>
        <sz val="11"/>
        <rFont val="Arial"/>
        <family val="0"/>
        <charset val="1"/>
      </rPr>
      <t xml:space="preserve">E~</t>
    </r>
    <r>
      <rPr>
        <sz val="11"/>
        <rFont val="Noto Sans CJK SC"/>
        <family val="2"/>
      </rPr>
      <t xml:space="preserve">마감 남단</t>
    </r>
    <r>
      <rPr>
        <sz val="11"/>
        <rFont val="Arial"/>
        <family val="0"/>
        <charset val="1"/>
      </rPr>
      <t xml:space="preserve">) + 2F_dimension_SW '555'(</t>
    </r>
    <r>
      <rPr>
        <sz val="11"/>
        <rFont val="Noto Sans CJK SC"/>
        <family val="2"/>
      </rPr>
      <t xml:space="preserve">마감선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남측 창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남측 길이 약</t>
    </r>
    <r>
      <rPr>
        <sz val="11"/>
        <rFont val="Arial"/>
        <family val="0"/>
        <charset val="1"/>
      </rPr>
      <t xml:space="preserve">9.21m(</t>
    </r>
    <r>
      <rPr>
        <sz val="11"/>
        <rFont val="Noto Sans CJK SC"/>
        <family val="2"/>
      </rPr>
      <t xml:space="preserve">서측 창 내면</t>
    </r>
    <r>
      <rPr>
        <sz val="11"/>
        <rFont val="Arial"/>
        <family val="0"/>
        <charset val="1"/>
      </rPr>
      <t xml:space="preserve">~O.A</t>
    </r>
    <r>
      <rPr>
        <sz val="11"/>
        <rFont val="Noto Sans CJK SC"/>
        <family val="2"/>
      </rPr>
      <t xml:space="preserve">측 보조벽 </t>
    </r>
    <r>
      <rPr>
        <sz val="11"/>
        <rFont val="Arial"/>
        <family val="0"/>
        <charset val="1"/>
      </rPr>
      <t xml:space="preserve">x810) - SW </t>
    </r>
    <r>
      <rPr>
        <sz val="11"/>
        <rFont val="Noto Sans CJK SC"/>
        <family val="2"/>
      </rPr>
      <t xml:space="preserve">모서리 기둥 약</t>
    </r>
    <r>
      <rPr>
        <sz val="11"/>
        <rFont val="Arial"/>
        <family val="0"/>
        <charset val="1"/>
      </rPr>
      <t xml:space="preserve">0.5x0.41).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149.64-&gt;162.93. </t>
    </r>
    <r>
      <rPr>
        <sz val="11"/>
        <rFont val="Noto Sans CJK SC"/>
        <family val="2"/>
      </rPr>
      <t xml:space="preserve">이전 </t>
    </r>
    <r>
      <rPr>
        <sz val="11"/>
        <rFont val="Arial"/>
        <family val="0"/>
        <charset val="1"/>
      </rPr>
      <t xml:space="preserve">review: ok</t>
    </r>
  </si>
  <si>
    <r>
      <rPr>
        <sz val="11"/>
        <rFont val="Arial"/>
        <family val="0"/>
        <charset val="1"/>
      </rPr>
      <t xml:space="preserve">OFFICE (</t>
    </r>
    <r>
      <rPr>
        <sz val="11"/>
        <rFont val="Noto Sans CJK SC"/>
        <family val="2"/>
      </rPr>
      <t xml:space="preserve">동측</t>
    </r>
    <r>
      <rPr>
        <sz val="11"/>
        <rFont val="Arial"/>
        <family val="0"/>
        <charset val="1"/>
      </rPr>
      <t xml:space="preserve">, 03 DT)</t>
    </r>
  </si>
  <si>
    <r>
      <rPr>
        <sz val="11"/>
        <rFont val="Arial"/>
        <family val="0"/>
        <charset val="1"/>
      </rPr>
      <t xml:space="preserve">2F_dimension_NE: 7178(</t>
    </r>
    <r>
      <rPr>
        <sz val="11"/>
        <rFont val="Noto Sans CJK SC"/>
        <family val="2"/>
      </rPr>
      <t xml:space="preserve">여직원휴게실 동벽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동측 안목</t>
    </r>
    <r>
      <rPr>
        <sz val="11"/>
        <rFont val="Arial"/>
        <family val="0"/>
        <charset val="1"/>
      </rPr>
      <t xml:space="preserve">) x 6150(</t>
    </r>
    <r>
      <rPr>
        <sz val="11"/>
        <rFont val="Noto Sans CJK SC"/>
        <family val="2"/>
      </rPr>
      <t xml:space="preserve">북측 안목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인권팀 상단</t>
    </r>
    <r>
      <rPr>
        <sz val="11"/>
        <rFont val="Arial"/>
        <family val="0"/>
        <charset val="1"/>
      </rPr>
      <t xml:space="preserve">) = 44.14; </t>
    </r>
    <r>
      <rPr>
        <sz val="11"/>
        <rFont val="Noto Sans CJK SC"/>
        <family val="2"/>
      </rPr>
      <t xml:space="preserve">인권팀 동측</t>
    </r>
    <r>
      <rPr>
        <sz val="11"/>
        <rFont val="Arial"/>
        <family val="0"/>
        <charset val="1"/>
      </rPr>
      <t xml:space="preserve">(5137=</t>
    </r>
    <r>
      <rPr>
        <sz val="11"/>
        <rFont val="Noto Sans CJK SC"/>
        <family val="2"/>
      </rPr>
      <t xml:space="preserve">동안목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인권팀 동벽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도면비례</t>
    </r>
    <r>
      <rPr>
        <sz val="11"/>
        <rFont val="Arial"/>
        <family val="0"/>
        <charset val="1"/>
      </rPr>
      <t xml:space="preserve">) x 7400(</t>
    </r>
    <r>
      <rPr>
        <sz val="11"/>
        <rFont val="Noto Sans CJK SC"/>
        <family val="2"/>
      </rPr>
      <t xml:space="preserve">인권팀 외곽 세로 </t>
    </r>
    <r>
      <rPr>
        <sz val="11"/>
        <rFont val="Arial"/>
        <family val="0"/>
        <charset val="1"/>
      </rPr>
      <t xml:space="preserve">2F_dimension_SE) = 38.01; </t>
    </r>
    <r>
      <rPr>
        <sz val="11"/>
        <rFont val="Noto Sans CJK SC"/>
        <family val="2"/>
      </rPr>
      <t xml:space="preserve">인권팀 하부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5600(2F_dimension_SE) x 7973(F-2 </t>
    </r>
    <r>
      <rPr>
        <sz val="11"/>
        <rFont val="Noto Sans CJK SC"/>
        <family val="2"/>
      </rPr>
      <t xml:space="preserve">전이선 </t>
    </r>
    <r>
      <rPr>
        <sz val="11"/>
        <rFont val="Arial"/>
        <family val="0"/>
        <charset val="1"/>
      </rPr>
      <t xml:space="preserve">x=603~</t>
    </r>
    <r>
      <rPr>
        <sz val="11"/>
        <rFont val="Noto Sans CJK SC"/>
        <family val="2"/>
      </rPr>
      <t xml:space="preserve">동안목</t>
    </r>
    <r>
      <rPr>
        <sz val="11"/>
        <rFont val="Arial"/>
        <family val="0"/>
        <charset val="1"/>
      </rPr>
      <t xml:space="preserve">) = 44.65; </t>
    </r>
    <r>
      <rPr>
        <sz val="11"/>
        <rFont val="Noto Sans CJK SC"/>
        <family val="2"/>
      </rPr>
      <t xml:space="preserve">금고 동벽</t>
    </r>
    <r>
      <rPr>
        <sz val="11"/>
        <rFont val="Arial"/>
        <family val="0"/>
        <charset val="1"/>
      </rPr>
      <t xml:space="preserve">~F-2</t>
    </r>
    <r>
      <rPr>
        <sz val="11"/>
        <rFont val="Noto Sans CJK SC"/>
        <family val="2"/>
      </rPr>
      <t xml:space="preserve">선 </t>
    </r>
    <r>
      <rPr>
        <sz val="11"/>
        <rFont val="Arial"/>
        <family val="0"/>
        <charset val="1"/>
      </rPr>
      <t xml:space="preserve">0.93x3.59=3.34 =&gt; 130.14 - </t>
    </r>
    <r>
      <rPr>
        <sz val="11"/>
        <rFont val="Noto Sans CJK SC"/>
        <family val="2"/>
      </rPr>
      <t xml:space="preserve">기둥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개 </t>
    </r>
    <r>
      <rPr>
        <sz val="11"/>
        <rFont val="Arial"/>
        <family val="0"/>
        <charset val="1"/>
      </rPr>
      <t xml:space="preserve">0.78 = 129.4.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북벽</t>
    </r>
    <r>
      <rPr>
        <sz val="11"/>
        <rFont val="Arial"/>
        <family val="0"/>
        <charset val="1"/>
      </rPr>
      <t xml:space="preserve">7.18+</t>
    </r>
    <r>
      <rPr>
        <sz val="11"/>
        <rFont val="Noto Sans CJK SC"/>
        <family val="2"/>
      </rPr>
      <t xml:space="preserve">동측 외벽 불투명구간 </t>
    </r>
    <r>
      <rPr>
        <sz val="11"/>
        <rFont val="Arial"/>
        <family val="0"/>
        <charset val="1"/>
      </rPr>
      <t xml:space="preserve">7.2+</t>
    </r>
    <r>
      <rPr>
        <sz val="11"/>
        <rFont val="Noto Sans CJK SC"/>
        <family val="2"/>
      </rPr>
      <t xml:space="preserve">여직원 동벽</t>
    </r>
    <r>
      <rPr>
        <sz val="11"/>
        <rFont val="Arial"/>
        <family val="0"/>
        <charset val="1"/>
      </rPr>
      <t xml:space="preserve">4.05+</t>
    </r>
    <r>
      <rPr>
        <sz val="11"/>
        <rFont val="Noto Sans CJK SC"/>
        <family val="2"/>
      </rPr>
      <t xml:space="preserve">인권팀 상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하벽</t>
    </r>
    <r>
      <rPr>
        <sz val="11"/>
        <rFont val="Arial"/>
        <family val="0"/>
        <charset val="1"/>
      </rPr>
      <t xml:space="preserve">4.0+</t>
    </r>
    <r>
      <rPr>
        <sz val="11"/>
        <rFont val="Noto Sans CJK SC"/>
        <family val="2"/>
      </rPr>
      <t xml:space="preserve">금고 동벽</t>
    </r>
    <r>
      <rPr>
        <sz val="11"/>
        <rFont val="Arial"/>
        <family val="0"/>
        <charset val="1"/>
      </rPr>
      <t xml:space="preserve">3.35+</t>
    </r>
    <r>
      <rPr>
        <sz val="11"/>
        <rFont val="Noto Sans CJK SC"/>
        <family val="2"/>
      </rPr>
      <t xml:space="preserve">남측 불투명 </t>
    </r>
    <r>
      <rPr>
        <sz val="11"/>
        <rFont val="Arial"/>
        <family val="0"/>
        <charset val="1"/>
      </rPr>
      <t xml:space="preserve">4.2 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30.0 || [v6 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] 2F_dimension_NE '439'(</t>
    </r>
    <r>
      <rPr>
        <sz val="11"/>
        <rFont val="Noto Sans CJK SC"/>
        <family val="2"/>
      </rPr>
      <t xml:space="preserve">마감선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동측 창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동측 길이 약</t>
    </r>
    <r>
      <rPr>
        <sz val="11"/>
        <rFont val="Arial"/>
        <family val="0"/>
        <charset val="1"/>
      </rPr>
      <t xml:space="preserve">18.69m +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'555' x </t>
    </r>
    <r>
      <rPr>
        <sz val="11"/>
        <rFont val="Noto Sans CJK SC"/>
        <family val="2"/>
      </rPr>
      <t xml:space="preserve">금고 동벽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동측 창 약</t>
    </r>
    <r>
      <rPr>
        <sz val="11"/>
        <rFont val="Arial"/>
        <family val="0"/>
        <charset val="1"/>
      </rPr>
      <t xml:space="preserve">9.34m - SE </t>
    </r>
    <r>
      <rPr>
        <sz val="11"/>
        <rFont val="Noto Sans CJK SC"/>
        <family val="2"/>
      </rPr>
      <t xml:space="preserve">모서리 기둥 약</t>
    </r>
    <r>
      <rPr>
        <sz val="11"/>
        <rFont val="Arial"/>
        <family val="0"/>
        <charset val="1"/>
      </rPr>
      <t xml:space="preserve">0.5x0.41. </t>
    </r>
    <r>
      <rPr>
        <sz val="11"/>
        <rFont val="Noto Sans CJK SC"/>
        <family val="2"/>
      </rPr>
      <t xml:space="preserve">금고 남벽 바깥 띠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1.7x0.555)</t>
    </r>
    <r>
      <rPr>
        <sz val="11"/>
        <rFont val="Noto Sans CJK SC"/>
        <family val="2"/>
      </rPr>
      <t xml:space="preserve">는 실 밖이라 제외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계산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동측 </t>
    </r>
    <r>
      <rPr>
        <sz val="11"/>
        <rFont val="Arial"/>
        <family val="0"/>
        <charset val="1"/>
      </rPr>
      <t xml:space="preserve">439x18.69=+8.21 +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555x9.34=+5.18 + </t>
    </r>
    <r>
      <rPr>
        <sz val="11"/>
        <rFont val="Noto Sans CJK SC"/>
        <family val="2"/>
      </rPr>
      <t xml:space="preserve">기둥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=-0.21 = +13.18. </t>
    </r>
    <r>
      <rPr>
        <sz val="11"/>
        <rFont val="Noto Sans CJK SC"/>
        <family val="2"/>
      </rPr>
      <t xml:space="preserve">걸레받이는 창 하부</t>
    </r>
    <r>
      <rPr>
        <sz val="11"/>
        <rFont val="Arial"/>
        <family val="0"/>
        <charset val="1"/>
      </rPr>
      <t xml:space="preserve">(FCU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라 변경 없음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</si>
  <si>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창측 띠 </t>
    </r>
    <r>
      <rPr>
        <sz val="11"/>
        <rFont val="Arial"/>
        <family val="0"/>
        <charset val="1"/>
      </rPr>
      <t xml:space="preserve">+13.18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(2F_dimension_NE '439'(</t>
    </r>
    <r>
      <rPr>
        <sz val="11"/>
        <rFont val="Noto Sans CJK SC"/>
        <family val="2"/>
      </rPr>
      <t xml:space="preserve">마감선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동측 창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동측 길이 약</t>
    </r>
    <r>
      <rPr>
        <sz val="11"/>
        <rFont val="Arial"/>
        <family val="0"/>
        <charset val="1"/>
      </rPr>
      <t xml:space="preserve">18.69m +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'555' x </t>
    </r>
    <r>
      <rPr>
        <sz val="11"/>
        <rFont val="Noto Sans CJK SC"/>
        <family val="2"/>
      </rPr>
      <t xml:space="preserve">금고 동벽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동측 창 약</t>
    </r>
    <r>
      <rPr>
        <sz val="11"/>
        <rFont val="Arial"/>
        <family val="0"/>
        <charset val="1"/>
      </rPr>
      <t xml:space="preserve">9.34m - SE </t>
    </r>
    <r>
      <rPr>
        <sz val="11"/>
        <rFont val="Noto Sans CJK SC"/>
        <family val="2"/>
      </rPr>
      <t xml:space="preserve">모서리 기둥 약</t>
    </r>
    <r>
      <rPr>
        <sz val="11"/>
        <rFont val="Arial"/>
        <family val="0"/>
        <charset val="1"/>
      </rPr>
      <t xml:space="preserve">0.5x0.41. </t>
    </r>
    <r>
      <rPr>
        <sz val="11"/>
        <rFont val="Noto Sans CJK SC"/>
        <family val="2"/>
      </rPr>
      <t xml:space="preserve">금고 남벽 바깥 띠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1.7x0.555)</t>
    </r>
    <r>
      <rPr>
        <sz val="11"/>
        <rFont val="Noto Sans CJK SC"/>
        <family val="2"/>
      </rPr>
      <t xml:space="preserve">는 실 밖이라 제외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129.37-&gt;142.55. </t>
    </r>
    <r>
      <rPr>
        <sz val="11"/>
        <rFont val="Noto Sans CJK SC"/>
        <family val="2"/>
      </rPr>
      <t xml:space="preserve">이전 </t>
    </r>
    <r>
      <rPr>
        <sz val="11"/>
        <rFont val="Arial"/>
        <family val="0"/>
        <charset val="1"/>
      </rPr>
      <t xml:space="preserve">review: ok</t>
    </r>
  </si>
  <si>
    <t xml:space="preserve">3F</t>
  </si>
  <si>
    <t xml:space="preserve">정책조정실</t>
  </si>
  <si>
    <r>
      <rPr>
        <sz val="11"/>
        <rFont val="Arial"/>
        <family val="0"/>
        <charset val="1"/>
      </rPr>
      <t xml:space="preserve">3F_dimension_NW: 4000+1250=5250(</t>
    </r>
    <r>
      <rPr>
        <sz val="11"/>
        <rFont val="Noto Sans CJK SC"/>
        <family val="2"/>
      </rPr>
      <t xml:space="preserve">안목</t>
    </r>
    <r>
      <rPr>
        <sz val="11"/>
        <rFont val="Arial"/>
        <family val="0"/>
        <charset val="1"/>
      </rPr>
      <t xml:space="preserve">) x (3910+980=4890) = 25.67 + </t>
    </r>
    <r>
      <rPr>
        <sz val="11"/>
        <rFont val="Noto Sans CJK SC"/>
        <family val="2"/>
      </rPr>
      <t xml:space="preserve">하부 노치부 </t>
    </r>
    <r>
      <rPr>
        <sz val="11"/>
        <rFont val="Arial"/>
        <family val="0"/>
        <charset val="1"/>
      </rPr>
      <t xml:space="preserve">4000x559 = 2.24 =&gt; 27.91.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북</t>
    </r>
    <r>
      <rPr>
        <sz val="11"/>
        <rFont val="Arial"/>
        <family val="0"/>
        <charset val="1"/>
      </rPr>
      <t xml:space="preserve">5.25+</t>
    </r>
    <r>
      <rPr>
        <sz val="11"/>
        <rFont val="Noto Sans CJK SC"/>
        <family val="2"/>
      </rPr>
      <t xml:space="preserve">서 불투명외벽 </t>
    </r>
    <r>
      <rPr>
        <sz val="11"/>
        <rFont val="Arial"/>
        <family val="0"/>
        <charset val="1"/>
      </rPr>
      <t xml:space="preserve">3.7+</t>
    </r>
    <r>
      <rPr>
        <sz val="11"/>
        <rFont val="Noto Sans CJK SC"/>
        <family val="2"/>
      </rPr>
      <t xml:space="preserve">남</t>
    </r>
    <r>
      <rPr>
        <sz val="11"/>
        <rFont val="Arial"/>
        <family val="0"/>
        <charset val="1"/>
      </rPr>
      <t xml:space="preserve">4.0+</t>
    </r>
    <r>
      <rPr>
        <sz val="11"/>
        <rFont val="Noto Sans CJK SC"/>
        <family val="2"/>
      </rPr>
      <t xml:space="preserve">동 </t>
    </r>
    <r>
      <rPr>
        <sz val="11"/>
        <rFont val="Arial"/>
        <family val="0"/>
        <charset val="1"/>
      </rPr>
      <t xml:space="preserve">3.91+</t>
    </r>
    <r>
      <rPr>
        <sz val="11"/>
        <rFont val="Noto Sans CJK SC"/>
        <family val="2"/>
      </rPr>
      <t xml:space="preserve">기타 </t>
    </r>
    <r>
      <rPr>
        <sz val="11"/>
        <rFont val="Arial"/>
        <family val="0"/>
        <charset val="1"/>
      </rPr>
      <t xml:space="preserve">0.76 || [v6 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] 3F_dimension_NW </t>
    </r>
    <r>
      <rPr>
        <sz val="11"/>
        <rFont val="Noto Sans CJK SC"/>
        <family val="2"/>
      </rPr>
      <t xml:space="preserve">서측 창 내면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마감선</t>
    </r>
    <r>
      <rPr>
        <sz val="11"/>
        <rFont val="Arial"/>
        <family val="0"/>
        <charset val="1"/>
      </rPr>
      <t xml:space="preserve">(2F_dimension_NW '450'</t>
    </r>
    <r>
      <rPr>
        <sz val="11"/>
        <rFont val="Noto Sans CJK SC"/>
        <family val="2"/>
      </rPr>
      <t xml:space="preserve">과 동일 외벽 구조</t>
    </r>
    <r>
      <rPr>
        <sz val="11"/>
        <rFont val="Arial"/>
        <family val="0"/>
        <charset val="1"/>
      </rPr>
      <t xml:space="preserve">, 3F</t>
    </r>
    <r>
      <rPr>
        <sz val="11"/>
        <rFont val="Noto Sans CJK SC"/>
        <family val="2"/>
      </rPr>
      <t xml:space="preserve">는 숫자 미기재라 화면 약</t>
    </r>
    <r>
      <rPr>
        <sz val="11"/>
        <rFont val="Arial"/>
        <family val="0"/>
        <charset val="1"/>
      </rPr>
      <t xml:space="preserve">35px=480mm</t>
    </r>
    <r>
      <rPr>
        <sz val="11"/>
        <rFont val="Noto Sans CJK SC"/>
        <family val="2"/>
      </rPr>
      <t xml:space="preserve">에서 </t>
    </r>
    <r>
      <rPr>
        <sz val="11"/>
        <rFont val="Arial"/>
        <family val="0"/>
        <charset val="1"/>
      </rPr>
      <t xml:space="preserve">450 </t>
    </r>
    <r>
      <rPr>
        <sz val="11"/>
        <rFont val="Noto Sans CJK SC"/>
        <family val="2"/>
      </rPr>
      <t xml:space="preserve">준용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서측 길이 약</t>
    </r>
    <r>
      <rPr>
        <sz val="11"/>
        <rFont val="Arial"/>
        <family val="0"/>
        <charset val="1"/>
      </rPr>
      <t xml:space="preserve">5.0m. </t>
    </r>
    <r>
      <rPr>
        <sz val="11"/>
        <rFont val="Noto Sans CJK SC"/>
        <family val="2"/>
      </rPr>
      <t xml:space="preserve">계산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서측 </t>
    </r>
    <r>
      <rPr>
        <sz val="11"/>
        <rFont val="Arial"/>
        <family val="0"/>
        <charset val="1"/>
      </rPr>
      <t xml:space="preserve">450x5.0=+2.25 = +2.25. </t>
    </r>
    <r>
      <rPr>
        <sz val="11"/>
        <rFont val="Noto Sans CJK SC"/>
        <family val="2"/>
      </rPr>
      <t xml:space="preserve">걸레받이는 창 하부</t>
    </r>
    <r>
      <rPr>
        <sz val="11"/>
        <rFont val="Arial"/>
        <family val="0"/>
        <charset val="1"/>
      </rPr>
      <t xml:space="preserve">(FCU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라 변경 없음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</si>
  <si>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창측 띠 </t>
    </r>
    <r>
      <rPr>
        <sz val="11"/>
        <rFont val="Arial"/>
        <family val="0"/>
        <charset val="1"/>
      </rPr>
      <t xml:space="preserve">+2.25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(3F_dimension_NW </t>
    </r>
    <r>
      <rPr>
        <sz val="11"/>
        <rFont val="Noto Sans CJK SC"/>
        <family val="2"/>
      </rPr>
      <t xml:space="preserve">서측 창 내면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마감선</t>
    </r>
    <r>
      <rPr>
        <sz val="11"/>
        <rFont val="Arial"/>
        <family val="0"/>
        <charset val="1"/>
      </rPr>
      <t xml:space="preserve">(2F_dimension_NW '450'</t>
    </r>
    <r>
      <rPr>
        <sz val="11"/>
        <rFont val="Noto Sans CJK SC"/>
        <family val="2"/>
      </rPr>
      <t xml:space="preserve">과 동일 외벽 구조</t>
    </r>
    <r>
      <rPr>
        <sz val="11"/>
        <rFont val="Arial"/>
        <family val="0"/>
        <charset val="1"/>
      </rPr>
      <t xml:space="preserve">, 3F</t>
    </r>
    <r>
      <rPr>
        <sz val="11"/>
        <rFont val="Noto Sans CJK SC"/>
        <family val="2"/>
      </rPr>
      <t xml:space="preserve">는 숫자 미기재라 화면 약</t>
    </r>
    <r>
      <rPr>
        <sz val="11"/>
        <rFont val="Arial"/>
        <family val="0"/>
        <charset val="1"/>
      </rPr>
      <t xml:space="preserve">35px=480mm</t>
    </r>
    <r>
      <rPr>
        <sz val="11"/>
        <rFont val="Noto Sans CJK SC"/>
        <family val="2"/>
      </rPr>
      <t xml:space="preserve">에서 </t>
    </r>
    <r>
      <rPr>
        <sz val="11"/>
        <rFont val="Arial"/>
        <family val="0"/>
        <charset val="1"/>
      </rPr>
      <t xml:space="preserve">450 </t>
    </r>
    <r>
      <rPr>
        <sz val="11"/>
        <rFont val="Noto Sans CJK SC"/>
        <family val="2"/>
      </rPr>
      <t xml:space="preserve">준용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서측 길이 약</t>
    </r>
    <r>
      <rPr>
        <sz val="11"/>
        <rFont val="Arial"/>
        <family val="0"/>
        <charset val="1"/>
      </rPr>
      <t xml:space="preserve">5.0m).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27.91-&gt;30.16. </t>
    </r>
    <r>
      <rPr>
        <sz val="11"/>
        <rFont val="Noto Sans CJK SC"/>
        <family val="2"/>
      </rPr>
      <t xml:space="preserve">이전 </t>
    </r>
    <r>
      <rPr>
        <sz val="11"/>
        <rFont val="Arial"/>
        <family val="0"/>
        <charset val="1"/>
      </rPr>
      <t xml:space="preserve">review: ok</t>
    </r>
  </si>
  <si>
    <t xml:space="preserve">사무총장실</t>
  </si>
  <si>
    <r>
      <rPr>
        <sz val="11"/>
        <rFont val="Arial"/>
        <family val="0"/>
        <charset val="1"/>
      </rPr>
      <t xml:space="preserve">3F_dimension_NW: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4200+250+980+320=5750 </t>
    </r>
    <r>
      <rPr>
        <sz val="11"/>
        <rFont val="Noto Sans CJK SC"/>
        <family val="2"/>
      </rPr>
      <t xml:space="preserve">에서 차음벽 조립 약</t>
    </r>
    <r>
      <rPr>
        <sz val="11"/>
        <rFont val="Arial"/>
        <family val="0"/>
        <charset val="1"/>
      </rPr>
      <t xml:space="preserve">150 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=5600,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3910(</t>
    </r>
    <r>
      <rPr>
        <sz val="11"/>
        <rFont val="Noto Sans CJK SC"/>
        <family val="2"/>
      </rPr>
      <t xml:space="preserve">서벽 길이</t>
    </r>
    <r>
      <rPr>
        <sz val="11"/>
        <rFont val="Arial"/>
        <family val="0"/>
        <charset val="1"/>
      </rPr>
      <t xml:space="preserve">)-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250(</t>
    </r>
    <r>
      <rPr>
        <sz val="11"/>
        <rFont val="Noto Sans CJK SC"/>
        <family val="2"/>
      </rPr>
      <t xml:space="preserve">하부 붙박이장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차음벽</t>
    </r>
    <r>
      <rPr>
        <sz val="11"/>
        <rFont val="Arial"/>
        <family val="0"/>
        <charset val="1"/>
      </rPr>
      <t xml:space="preserve">)=3660. 5.6x3.66.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북</t>
    </r>
    <r>
      <rPr>
        <sz val="11"/>
        <rFont val="Arial"/>
        <family val="0"/>
        <charset val="1"/>
      </rPr>
      <t xml:space="preserve">5.6+</t>
    </r>
    <r>
      <rPr>
        <sz val="11"/>
        <rFont val="Noto Sans CJK SC"/>
        <family val="2"/>
      </rPr>
      <t xml:space="preserve">서</t>
    </r>
    <r>
      <rPr>
        <sz val="11"/>
        <rFont val="Arial"/>
        <family val="0"/>
        <charset val="1"/>
      </rPr>
      <t xml:space="preserve">3.66+</t>
    </r>
    <r>
      <rPr>
        <sz val="11"/>
        <rFont val="Noto Sans CJK SC"/>
        <family val="2"/>
      </rPr>
      <t xml:space="preserve">동</t>
    </r>
    <r>
      <rPr>
        <sz val="11"/>
        <rFont val="Arial"/>
        <family val="0"/>
        <charset val="1"/>
      </rPr>
      <t xml:space="preserve">3.66+</t>
    </r>
    <r>
      <rPr>
        <sz val="11"/>
        <rFont val="Noto Sans CJK SC"/>
        <family val="2"/>
      </rPr>
      <t xml:space="preserve">남 개구 제외 </t>
    </r>
    <r>
      <rPr>
        <sz val="11"/>
        <rFont val="Arial"/>
        <family val="0"/>
        <charset val="1"/>
      </rPr>
      <t xml:space="preserve">0.6</t>
    </r>
  </si>
  <si>
    <t xml:space="preserve">사무국장실</t>
  </si>
  <si>
    <r>
      <rPr>
        <sz val="11"/>
        <rFont val="Arial"/>
        <family val="0"/>
        <charset val="1"/>
      </rPr>
      <t xml:space="preserve">3F_dimension_SW: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980+300+2104=3384,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3895(3F_dimension_SE '3895').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서</t>
    </r>
    <r>
      <rPr>
        <sz val="11"/>
        <rFont val="Arial"/>
        <family val="0"/>
        <charset val="1"/>
      </rPr>
      <t xml:space="preserve">3.895+</t>
    </r>
    <r>
      <rPr>
        <sz val="11"/>
        <rFont val="Noto Sans CJK SC"/>
        <family val="2"/>
      </rPr>
      <t xml:space="preserve">동</t>
    </r>
    <r>
      <rPr>
        <sz val="11"/>
        <rFont val="Arial"/>
        <family val="0"/>
        <charset val="1"/>
      </rPr>
      <t xml:space="preserve">3.895+</t>
    </r>
    <r>
      <rPr>
        <sz val="11"/>
        <rFont val="Noto Sans CJK SC"/>
        <family val="2"/>
      </rPr>
      <t xml:space="preserve">남 불투명 </t>
    </r>
    <r>
      <rPr>
        <sz val="11"/>
        <rFont val="Arial"/>
        <family val="0"/>
        <charset val="1"/>
      </rPr>
      <t xml:space="preserve">1.8 (</t>
    </r>
    <r>
      <rPr>
        <sz val="11"/>
        <rFont val="Noto Sans CJK SC"/>
        <family val="2"/>
      </rPr>
      <t xml:space="preserve">전면 유리 제외</t>
    </r>
    <r>
      <rPr>
        <sz val="11"/>
        <rFont val="Arial"/>
        <family val="0"/>
        <charset val="1"/>
      </rPr>
      <t xml:space="preserve">) || [v6 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] 3F_dimension_SW/SE '3895' 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'550'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3384 - </t>
    </r>
    <r>
      <rPr>
        <sz val="11"/>
        <rFont val="Noto Sans CJK SC"/>
        <family val="2"/>
      </rPr>
      <t xml:space="preserve">기둥 약</t>
    </r>
    <r>
      <rPr>
        <sz val="11"/>
        <rFont val="Arial"/>
        <family val="0"/>
        <charset val="1"/>
      </rPr>
      <t xml:space="preserve">0.21. </t>
    </r>
    <r>
      <rPr>
        <sz val="11"/>
        <rFont val="Noto Sans CJK SC"/>
        <family val="2"/>
      </rPr>
      <t xml:space="preserve">계산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550x3.384=+1.86 + </t>
    </r>
    <r>
      <rPr>
        <sz val="11"/>
        <rFont val="Noto Sans CJK SC"/>
        <family val="2"/>
      </rPr>
      <t xml:space="preserve">기둥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=-0.21 = +1.65. </t>
    </r>
    <r>
      <rPr>
        <sz val="11"/>
        <rFont val="Noto Sans CJK SC"/>
        <family val="2"/>
      </rPr>
      <t xml:space="preserve">걸레받이는 창 하부</t>
    </r>
    <r>
      <rPr>
        <sz val="11"/>
        <rFont val="Arial"/>
        <family val="0"/>
        <charset val="1"/>
      </rPr>
      <t xml:space="preserve">(FCU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라 변경 없음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</si>
  <si>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창측 띠 </t>
    </r>
    <r>
      <rPr>
        <sz val="11"/>
        <rFont val="Arial"/>
        <family val="0"/>
        <charset val="1"/>
      </rPr>
      <t xml:space="preserve">+1.65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(3F_dimension_SW/SE '3895' 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'550'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3384 - </t>
    </r>
    <r>
      <rPr>
        <sz val="11"/>
        <rFont val="Noto Sans CJK SC"/>
        <family val="2"/>
      </rPr>
      <t xml:space="preserve">기둥 약</t>
    </r>
    <r>
      <rPr>
        <sz val="11"/>
        <rFont val="Arial"/>
        <family val="0"/>
        <charset val="1"/>
      </rPr>
      <t xml:space="preserve">0.21).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13.18-&gt;14.83. </t>
    </r>
    <r>
      <rPr>
        <sz val="11"/>
        <rFont val="Noto Sans CJK SC"/>
        <family val="2"/>
      </rPr>
      <t xml:space="preserve">이전 </t>
    </r>
    <r>
      <rPr>
        <sz val="11"/>
        <rFont val="Arial"/>
        <family val="0"/>
        <charset val="1"/>
      </rPr>
      <t xml:space="preserve">review: ok</t>
    </r>
  </si>
  <si>
    <r>
      <rPr>
        <sz val="11"/>
        <rFont val="Noto Sans CJK SC"/>
        <family val="2"/>
      </rPr>
      <t xml:space="preserve">중회의실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임원휴게실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</si>
  <si>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3F_dimension_SE/SW: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3198,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3895.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서측벽 </t>
    </r>
    <r>
      <rPr>
        <sz val="11"/>
        <rFont val="Arial"/>
        <family val="0"/>
        <charset val="1"/>
      </rPr>
      <t xml:space="preserve">3.895+</t>
    </r>
    <r>
      <rPr>
        <sz val="11"/>
        <rFont val="Noto Sans CJK SC"/>
        <family val="2"/>
      </rPr>
      <t xml:space="preserve">동측 폴딩 칸막이 </t>
    </r>
    <r>
      <rPr>
        <sz val="11"/>
        <rFont val="Arial"/>
        <family val="0"/>
        <charset val="1"/>
      </rPr>
      <t xml:space="preserve">3.895 (</t>
    </r>
    <r>
      <rPr>
        <sz val="11"/>
        <rFont val="Noto Sans CJK SC"/>
        <family val="2"/>
      </rPr>
      <t xml:space="preserve">가정</t>
    </r>
    <r>
      <rPr>
        <sz val="11"/>
        <rFont val="Arial"/>
        <family val="0"/>
        <charset val="1"/>
      </rPr>
      <t xml:space="preserve">) || [v5 </t>
    </r>
    <r>
      <rPr>
        <sz val="11"/>
        <rFont val="Noto Sans CJK SC"/>
        <family val="2"/>
      </rPr>
      <t xml:space="preserve">수정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서측 고정벽 </t>
    </r>
    <r>
      <rPr>
        <sz val="11"/>
        <rFont val="Arial"/>
        <family val="0"/>
        <charset val="1"/>
      </rPr>
      <t xml:space="preserve">3.895 (</t>
    </r>
    <r>
      <rPr>
        <sz val="11"/>
        <rFont val="Noto Sans CJK SC"/>
        <family val="2"/>
      </rPr>
      <t xml:space="preserve">동측 폴딩도어 제외</t>
    </r>
    <r>
      <rPr>
        <sz val="11"/>
        <rFont val="Arial"/>
        <family val="0"/>
        <charset val="1"/>
      </rPr>
      <t xml:space="preserve">). || [v6 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] 3F_dimension_SE '3895' 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'550'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3198 (</t>
    </r>
    <r>
      <rPr>
        <sz val="11"/>
        <rFont val="Noto Sans CJK SC"/>
        <family val="2"/>
      </rPr>
      <t xml:space="preserve">기둥 없음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계산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550x3.198=+1.76 = +1.76. </t>
    </r>
    <r>
      <rPr>
        <sz val="11"/>
        <rFont val="Noto Sans CJK SC"/>
        <family val="2"/>
      </rPr>
      <t xml:space="preserve">걸레받이는 창 하부</t>
    </r>
    <r>
      <rPr>
        <sz val="11"/>
        <rFont val="Arial"/>
        <family val="0"/>
        <charset val="1"/>
      </rPr>
      <t xml:space="preserve">(FCU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라 변경 없음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</si>
  <si>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창측 띠 </t>
    </r>
    <r>
      <rPr>
        <sz val="11"/>
        <rFont val="Arial"/>
        <family val="0"/>
        <charset val="1"/>
      </rPr>
      <t xml:space="preserve">+1.76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(3F_dimension_SE '3895' 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'550'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3198 (</t>
    </r>
    <r>
      <rPr>
        <sz val="11"/>
        <rFont val="Noto Sans CJK SC"/>
        <family val="2"/>
      </rPr>
      <t xml:space="preserve">기둥 없음</t>
    </r>
    <r>
      <rPr>
        <sz val="11"/>
        <rFont val="Arial"/>
        <family val="0"/>
        <charset val="1"/>
      </rPr>
      <t xml:space="preserve">)).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12.46-&gt;14.22. </t>
    </r>
    <r>
      <rPr>
        <sz val="11"/>
        <rFont val="Noto Sans CJK SC"/>
        <family val="2"/>
      </rPr>
      <t xml:space="preserve">이전 </t>
    </r>
    <r>
      <rPr>
        <sz val="11"/>
        <rFont val="Arial"/>
        <family val="0"/>
        <charset val="1"/>
      </rPr>
      <t xml:space="preserve">review: </t>
    </r>
    <r>
      <rPr>
        <sz val="11"/>
        <rFont val="Noto Sans CJK SC"/>
        <family val="2"/>
      </rPr>
      <t xml:space="preserve">걸레받이 수정 </t>
    </r>
    <r>
      <rPr>
        <sz val="11"/>
        <rFont val="Arial"/>
        <family val="0"/>
        <charset val="1"/>
      </rPr>
      <t xml:space="preserve">7.79-&gt;3.9. </t>
    </r>
    <r>
      <rPr>
        <sz val="11"/>
        <rFont val="Noto Sans CJK SC"/>
        <family val="2"/>
      </rPr>
      <t xml:space="preserve">동측 폴딩도어</t>
    </r>
    <r>
      <rPr>
        <sz val="11"/>
        <rFont val="Arial"/>
        <family val="0"/>
        <charset val="1"/>
      </rPr>
      <t xml:space="preserve">(ESC-04)</t>
    </r>
    <r>
      <rPr>
        <sz val="11"/>
        <rFont val="Noto Sans CJK SC"/>
        <family val="2"/>
      </rPr>
      <t xml:space="preserve">는 걸레받이 없음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서측 사무국장실 칸막이 고정벽 </t>
    </r>
    <r>
      <rPr>
        <sz val="11"/>
        <rFont val="Arial"/>
        <family val="0"/>
        <charset val="1"/>
      </rPr>
      <t xml:space="preserve">3.895</t>
    </r>
    <r>
      <rPr>
        <sz val="11"/>
        <rFont val="Noto Sans CJK SC"/>
        <family val="2"/>
      </rPr>
      <t xml:space="preserve">만 인정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</si>
  <si>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중회의실</t>
    </r>
    <r>
      <rPr>
        <sz val="11"/>
        <rFont val="Arial"/>
        <family val="0"/>
        <charset val="1"/>
      </rPr>
      <t xml:space="preserve">-1</t>
    </r>
  </si>
  <si>
    <r>
      <rPr>
        <sz val="11"/>
        <rFont val="Arial"/>
        <family val="0"/>
        <charset val="1"/>
      </rPr>
      <t xml:space="preserve">3F_dimension_SE: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3198,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3895.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양측 폴딩 칸막이 </t>
    </r>
    <r>
      <rPr>
        <sz val="11"/>
        <rFont val="Arial"/>
        <family val="0"/>
        <charset val="1"/>
      </rPr>
      <t xml:space="preserve">3.895x2 (</t>
    </r>
    <r>
      <rPr>
        <sz val="11"/>
        <rFont val="Noto Sans CJK SC"/>
        <family val="2"/>
      </rPr>
      <t xml:space="preserve">가정</t>
    </r>
    <r>
      <rPr>
        <sz val="11"/>
        <rFont val="Arial"/>
        <family val="0"/>
        <charset val="1"/>
      </rPr>
      <t xml:space="preserve">) || [v5 </t>
    </r>
    <r>
      <rPr>
        <sz val="11"/>
        <rFont val="Noto Sans CJK SC"/>
        <family val="2"/>
      </rPr>
      <t xml:space="preserve">수정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양측 폴딩도어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전면 유리 </t>
    </r>
    <r>
      <rPr>
        <sz val="11"/>
        <rFont val="Arial"/>
        <family val="0"/>
        <charset val="1"/>
      </rPr>
      <t xml:space="preserve">=&gt; 0. || [v6 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] 3F_dimension_SE '3895' 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'550'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3198 - </t>
    </r>
    <r>
      <rPr>
        <sz val="11"/>
        <rFont val="Noto Sans CJK SC"/>
        <family val="2"/>
      </rPr>
      <t xml:space="preserve">기둥 약</t>
    </r>
    <r>
      <rPr>
        <sz val="11"/>
        <rFont val="Arial"/>
        <family val="0"/>
        <charset val="1"/>
      </rPr>
      <t xml:space="preserve">0.21. </t>
    </r>
    <r>
      <rPr>
        <sz val="11"/>
        <rFont val="Noto Sans CJK SC"/>
        <family val="2"/>
      </rPr>
      <t xml:space="preserve">계산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550x3.198=+1.76 + </t>
    </r>
    <r>
      <rPr>
        <sz val="11"/>
        <rFont val="Noto Sans CJK SC"/>
        <family val="2"/>
      </rPr>
      <t xml:space="preserve">기둥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=-0.21 = +1.55. </t>
    </r>
    <r>
      <rPr>
        <sz val="11"/>
        <rFont val="Noto Sans CJK SC"/>
        <family val="2"/>
      </rPr>
      <t xml:space="preserve">걸레받이는 창 하부</t>
    </r>
    <r>
      <rPr>
        <sz val="11"/>
        <rFont val="Arial"/>
        <family val="0"/>
        <charset val="1"/>
      </rPr>
      <t xml:space="preserve">(FCU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라 변경 없음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</si>
  <si>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창측 띠 </t>
    </r>
    <r>
      <rPr>
        <sz val="11"/>
        <rFont val="Arial"/>
        <family val="0"/>
        <charset val="1"/>
      </rPr>
      <t xml:space="preserve">+1.55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(3F_dimension_SE '3895' 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'550'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3198 - </t>
    </r>
    <r>
      <rPr>
        <sz val="11"/>
        <rFont val="Noto Sans CJK SC"/>
        <family val="2"/>
      </rPr>
      <t xml:space="preserve">기둥 약</t>
    </r>
    <r>
      <rPr>
        <sz val="11"/>
        <rFont val="Arial"/>
        <family val="0"/>
        <charset val="1"/>
      </rPr>
      <t xml:space="preserve">0.21).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12.46-&gt;14.01. </t>
    </r>
    <r>
      <rPr>
        <sz val="11"/>
        <rFont val="Noto Sans CJK SC"/>
        <family val="2"/>
      </rPr>
      <t xml:space="preserve">이전 </t>
    </r>
    <r>
      <rPr>
        <sz val="11"/>
        <rFont val="Arial"/>
        <family val="0"/>
        <charset val="1"/>
      </rPr>
      <t xml:space="preserve">review: </t>
    </r>
    <r>
      <rPr>
        <sz val="11"/>
        <rFont val="Noto Sans CJK SC"/>
        <family val="2"/>
      </rPr>
      <t xml:space="preserve">걸레받이 수정 </t>
    </r>
    <r>
      <rPr>
        <sz val="11"/>
        <rFont val="Arial"/>
        <family val="0"/>
        <charset val="1"/>
      </rPr>
      <t xml:space="preserve">7.79-&gt;0. </t>
    </r>
    <r>
      <rPr>
        <sz val="11"/>
        <rFont val="Noto Sans CJK SC"/>
        <family val="2"/>
      </rPr>
      <t xml:space="preserve">양측 폴딩도어 칸막이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전면 유리 </t>
    </r>
    <r>
      <rPr>
        <sz val="11"/>
        <rFont val="Arial"/>
        <family val="0"/>
        <charset val="1"/>
      </rPr>
      <t xml:space="preserve">=&gt; </t>
    </r>
    <r>
      <rPr>
        <sz val="11"/>
        <rFont val="Noto Sans CJK SC"/>
        <family val="2"/>
      </rPr>
      <t xml:space="preserve">벽 구간 없음</t>
    </r>
    <r>
      <rPr>
        <sz val="11"/>
        <rFont val="Arial"/>
        <family val="0"/>
        <charset val="1"/>
      </rPr>
      <t xml:space="preserve">.</t>
    </r>
  </si>
  <si>
    <t xml:space="preserve">대회의실</t>
  </si>
  <si>
    <r>
      <rPr>
        <sz val="11"/>
        <rFont val="Arial"/>
        <family val="0"/>
        <charset val="1"/>
      </rPr>
      <t xml:space="preserve">3F_dimension_SE: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5098,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3895.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서측 폴딩 </t>
    </r>
    <r>
      <rPr>
        <sz val="11"/>
        <rFont val="Arial"/>
        <family val="0"/>
        <charset val="1"/>
      </rPr>
      <t xml:space="preserve">3.895+</t>
    </r>
    <r>
      <rPr>
        <sz val="11"/>
        <rFont val="Noto Sans CJK SC"/>
        <family val="2"/>
      </rPr>
      <t xml:space="preserve">동측 고정벽 </t>
    </r>
    <r>
      <rPr>
        <sz val="11"/>
        <rFont val="Arial"/>
        <family val="0"/>
        <charset val="1"/>
      </rPr>
      <t xml:space="preserve">3.895 || [v5 </t>
    </r>
    <r>
      <rPr>
        <sz val="11"/>
        <rFont val="Noto Sans CJK SC"/>
        <family val="2"/>
      </rPr>
      <t xml:space="preserve">수정</t>
    </r>
    <r>
      <rPr>
        <sz val="11"/>
        <rFont val="Arial"/>
        <family val="0"/>
        <charset val="1"/>
      </rPr>
      <t xml:space="preserve">]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동측 고정벽 </t>
    </r>
    <r>
      <rPr>
        <sz val="11"/>
        <rFont val="Arial"/>
        <family val="0"/>
        <charset val="1"/>
      </rPr>
      <t xml:space="preserve">3.895 (</t>
    </r>
    <r>
      <rPr>
        <sz val="11"/>
        <rFont val="Noto Sans CJK SC"/>
        <family val="2"/>
      </rPr>
      <t xml:space="preserve">서측 폴딩도어 제외</t>
    </r>
    <r>
      <rPr>
        <sz val="11"/>
        <rFont val="Arial"/>
        <family val="0"/>
        <charset val="1"/>
      </rPr>
      <t xml:space="preserve">). || [v6 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] 3F_dimension_SE '3895' 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'550'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5098 (</t>
    </r>
    <r>
      <rPr>
        <sz val="11"/>
        <rFont val="Noto Sans CJK SC"/>
        <family val="2"/>
      </rPr>
      <t xml:space="preserve">기둥 없음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계산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550x5.098=+2.80 = +2.80. </t>
    </r>
    <r>
      <rPr>
        <sz val="11"/>
        <rFont val="Noto Sans CJK SC"/>
        <family val="2"/>
      </rPr>
      <t xml:space="preserve">걸레받이는 창 하부</t>
    </r>
    <r>
      <rPr>
        <sz val="11"/>
        <rFont val="Arial"/>
        <family val="0"/>
        <charset val="1"/>
      </rPr>
      <t xml:space="preserve">(FCU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라 변경 없음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</si>
  <si>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창측 띠 </t>
    </r>
    <r>
      <rPr>
        <sz val="11"/>
        <rFont val="Arial"/>
        <family val="0"/>
        <charset val="1"/>
      </rPr>
      <t xml:space="preserve">+2.80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(3F_dimension_SE '3895' </t>
    </r>
    <r>
      <rPr>
        <sz val="11"/>
        <rFont val="Noto Sans CJK SC"/>
        <family val="2"/>
      </rPr>
      <t xml:space="preserve">끝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'550' x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5098 (</t>
    </r>
    <r>
      <rPr>
        <sz val="11"/>
        <rFont val="Noto Sans CJK SC"/>
        <family val="2"/>
      </rPr>
      <t xml:space="preserve">기둥 없음</t>
    </r>
    <r>
      <rPr>
        <sz val="11"/>
        <rFont val="Arial"/>
        <family val="0"/>
        <charset val="1"/>
      </rPr>
      <t xml:space="preserve">)).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19.86-&gt;22.66. </t>
    </r>
    <r>
      <rPr>
        <sz val="11"/>
        <rFont val="Noto Sans CJK SC"/>
        <family val="2"/>
      </rPr>
      <t xml:space="preserve">이전 </t>
    </r>
    <r>
      <rPr>
        <sz val="11"/>
        <rFont val="Arial"/>
        <family val="0"/>
        <charset val="1"/>
      </rPr>
      <t xml:space="preserve">review: </t>
    </r>
    <r>
      <rPr>
        <sz val="11"/>
        <rFont val="Noto Sans CJK SC"/>
        <family val="2"/>
      </rPr>
      <t xml:space="preserve">걸레받이 수정 </t>
    </r>
    <r>
      <rPr>
        <sz val="11"/>
        <rFont val="Arial"/>
        <family val="0"/>
        <charset val="1"/>
      </rPr>
      <t xml:space="preserve">7.79-&gt;3.9. </t>
    </r>
    <r>
      <rPr>
        <sz val="11"/>
        <rFont val="Noto Sans CJK SC"/>
        <family val="2"/>
      </rPr>
      <t xml:space="preserve">서측 폴딩도어 제외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동측 고정벽 </t>
    </r>
    <r>
      <rPr>
        <sz val="11"/>
        <rFont val="Arial"/>
        <family val="0"/>
        <charset val="1"/>
      </rPr>
      <t xml:space="preserve">3.895</t>
    </r>
    <r>
      <rPr>
        <sz val="11"/>
        <rFont val="Noto Sans CJK SC"/>
        <family val="2"/>
      </rPr>
      <t xml:space="preserve">만 인정</t>
    </r>
    <r>
      <rPr>
        <sz val="11"/>
        <rFont val="Arial"/>
        <family val="0"/>
        <charset val="1"/>
      </rPr>
      <t xml:space="preserve">.</t>
    </r>
  </si>
  <si>
    <t xml:space="preserve">접견실</t>
  </si>
  <si>
    <t xml:space="preserve">CT-03</t>
  </si>
  <si>
    <r>
      <rPr>
        <sz val="11"/>
        <rFont val="Arial"/>
        <family val="0"/>
        <charset val="1"/>
      </rPr>
      <t xml:space="preserve">3F_dimension_SW: 850+980+3315=5145(</t>
    </r>
    <r>
      <rPr>
        <sz val="11"/>
        <rFont val="Noto Sans CJK SC"/>
        <family val="2"/>
      </rPr>
      <t xml:space="preserve">가로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5400+520+980=6900(</t>
    </r>
    <r>
      <rPr>
        <sz val="11"/>
        <rFont val="Noto Sans CJK SC"/>
        <family val="2"/>
      </rPr>
      <t xml:space="preserve">동벽 길이</t>
    </r>
    <r>
      <rPr>
        <sz val="11"/>
        <rFont val="Arial"/>
        <family val="0"/>
        <charset val="1"/>
      </rPr>
      <t xml:space="preserve">). 5.145x6.9=35.50 + </t>
    </r>
    <r>
      <rPr>
        <sz val="11"/>
        <rFont val="Noto Sans CJK SC"/>
        <family val="2"/>
      </rPr>
      <t xml:space="preserve">서측 곡면 베이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현창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면적 약</t>
    </r>
    <r>
      <rPr>
        <sz val="11"/>
        <rFont val="Arial"/>
        <family val="0"/>
        <charset val="1"/>
      </rPr>
      <t xml:space="preserve">3.5(chord 5.5m x </t>
    </r>
    <r>
      <rPr>
        <sz val="11"/>
        <rFont val="Noto Sans CJK SC"/>
        <family val="2"/>
      </rPr>
      <t xml:space="preserve">높이 </t>
    </r>
    <r>
      <rPr>
        <sz val="11"/>
        <rFont val="Arial"/>
        <family val="0"/>
        <charset val="1"/>
      </rPr>
      <t xml:space="preserve">1.05m x 2/3, </t>
    </r>
    <r>
      <rPr>
        <sz val="11"/>
        <rFont val="Noto Sans CJK SC"/>
        <family val="2"/>
      </rPr>
      <t xml:space="preserve">도면비례 추정</t>
    </r>
    <r>
      <rPr>
        <sz val="11"/>
        <rFont val="Arial"/>
        <family val="0"/>
        <charset val="1"/>
      </rPr>
      <t xml:space="preserve">) - </t>
    </r>
    <r>
      <rPr>
        <sz val="11"/>
        <rFont val="Noto Sans CJK SC"/>
        <family val="2"/>
      </rPr>
      <t xml:space="preserve">기둥 </t>
    </r>
    <r>
      <rPr>
        <sz val="11"/>
        <rFont val="Arial"/>
        <family val="0"/>
        <charset val="1"/>
      </rPr>
      <t xml:space="preserve">0.39 = 38.61.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동벽 </t>
    </r>
    <r>
      <rPr>
        <sz val="11"/>
        <rFont val="Arial"/>
        <family val="0"/>
        <charset val="1"/>
      </rPr>
      <t xml:space="preserve">6.9-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0.98+</t>
    </r>
    <r>
      <rPr>
        <sz val="11"/>
        <rFont val="Noto Sans CJK SC"/>
        <family val="2"/>
      </rPr>
      <t xml:space="preserve">북</t>
    </r>
    <r>
      <rPr>
        <sz val="11"/>
        <rFont val="Arial"/>
        <family val="0"/>
        <charset val="1"/>
      </rPr>
      <t xml:space="preserve">5.145+</t>
    </r>
    <r>
      <rPr>
        <sz val="11"/>
        <rFont val="Noto Sans CJK SC"/>
        <family val="2"/>
      </rPr>
      <t xml:space="preserve">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슬라이딩 도어 </t>
    </r>
    <r>
      <rPr>
        <sz val="11"/>
        <rFont val="Arial"/>
        <family val="0"/>
        <charset val="1"/>
      </rPr>
      <t xml:space="preserve">0.98 </t>
    </r>
    <r>
      <rPr>
        <sz val="11"/>
        <rFont val="Noto Sans CJK SC"/>
        <family val="2"/>
      </rPr>
      <t xml:space="preserve">제외</t>
    </r>
    <r>
      <rPr>
        <sz val="11"/>
        <rFont val="Arial"/>
        <family val="0"/>
        <charset val="1"/>
      </rPr>
      <t xml:space="preserve">)4.17, </t>
    </r>
    <r>
      <rPr>
        <sz val="11"/>
        <rFont val="Noto Sans CJK SC"/>
        <family val="2"/>
      </rPr>
      <t xml:space="preserve">곡면 창 제외 </t>
    </r>
    <r>
      <rPr>
        <sz val="11"/>
        <rFont val="Arial"/>
        <family val="0"/>
        <charset val="1"/>
      </rPr>
      <t xml:space="preserve">|| [v6 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] 3F_dimension_NW/SW </t>
    </r>
    <r>
      <rPr>
        <sz val="11"/>
        <rFont val="Noto Sans CJK SC"/>
        <family val="2"/>
      </rPr>
      <t xml:space="preserve">서측 창 </t>
    </r>
    <r>
      <rPr>
        <sz val="11"/>
        <rFont val="Arial"/>
        <family val="0"/>
        <charset val="1"/>
      </rPr>
      <t xml:space="preserve">450(</t>
    </r>
    <r>
      <rPr>
        <sz val="11"/>
        <rFont val="Noto Sans CJK SC"/>
        <family val="2"/>
      </rPr>
      <t xml:space="preserve">준용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직선 </t>
    </r>
    <r>
      <rPr>
        <sz val="11"/>
        <rFont val="Arial"/>
        <family val="0"/>
        <charset val="1"/>
      </rPr>
      <t xml:space="preserve">1.64m + </t>
    </r>
    <r>
      <rPr>
        <sz val="11"/>
        <rFont val="Noto Sans CJK SC"/>
        <family val="2"/>
      </rPr>
      <t xml:space="preserve">곡면 현창 마감호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창호 사이 띠 </t>
    </r>
    <r>
      <rPr>
        <sz val="11"/>
        <rFont val="Arial"/>
        <family val="0"/>
        <charset val="1"/>
      </rPr>
      <t xml:space="preserve">450 x </t>
    </r>
    <r>
      <rPr>
        <sz val="11"/>
        <rFont val="Noto Sans CJK SC"/>
        <family val="2"/>
      </rPr>
      <t xml:space="preserve">호길이 약</t>
    </r>
    <r>
      <rPr>
        <sz val="11"/>
        <rFont val="Arial"/>
        <family val="0"/>
        <charset val="1"/>
      </rPr>
      <t xml:space="preserve">6.0m (v5 </t>
    </r>
    <r>
      <rPr>
        <sz val="11"/>
        <rFont val="Noto Sans CJK SC"/>
        <family val="2"/>
      </rPr>
      <t xml:space="preserve">베이 가산은 마감호 안쪽까지만 포함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계산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서측 직선 </t>
    </r>
    <r>
      <rPr>
        <sz val="11"/>
        <rFont val="Arial"/>
        <family val="0"/>
        <charset val="1"/>
      </rPr>
      <t xml:space="preserve">450x1.64=+0.74 + </t>
    </r>
    <r>
      <rPr>
        <sz val="11"/>
        <rFont val="Noto Sans CJK SC"/>
        <family val="2"/>
      </rPr>
      <t xml:space="preserve">곡면 베이 띠 </t>
    </r>
    <r>
      <rPr>
        <sz val="11"/>
        <rFont val="Arial"/>
        <family val="0"/>
        <charset val="1"/>
      </rPr>
      <t xml:space="preserve">450x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6.0=+2.70 = +3.44. </t>
    </r>
    <r>
      <rPr>
        <sz val="11"/>
        <rFont val="Noto Sans CJK SC"/>
        <family val="2"/>
      </rPr>
      <t xml:space="preserve">걸레받이는 창 하부</t>
    </r>
    <r>
      <rPr>
        <sz val="11"/>
        <rFont val="Arial"/>
        <family val="0"/>
        <charset val="1"/>
      </rPr>
      <t xml:space="preserve">(FCU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라 변경 없음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</si>
  <si>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창측 띠 </t>
    </r>
    <r>
      <rPr>
        <sz val="11"/>
        <rFont val="Arial"/>
        <family val="0"/>
        <charset val="1"/>
      </rPr>
      <t xml:space="preserve">+3.44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(3F_dimension_NW/SW </t>
    </r>
    <r>
      <rPr>
        <sz val="11"/>
        <rFont val="Noto Sans CJK SC"/>
        <family val="2"/>
      </rPr>
      <t xml:space="preserve">서측 창 </t>
    </r>
    <r>
      <rPr>
        <sz val="11"/>
        <rFont val="Arial"/>
        <family val="0"/>
        <charset val="1"/>
      </rPr>
      <t xml:space="preserve">450(</t>
    </r>
    <r>
      <rPr>
        <sz val="11"/>
        <rFont val="Noto Sans CJK SC"/>
        <family val="2"/>
      </rPr>
      <t xml:space="preserve">준용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직선 </t>
    </r>
    <r>
      <rPr>
        <sz val="11"/>
        <rFont val="Arial"/>
        <family val="0"/>
        <charset val="1"/>
      </rPr>
      <t xml:space="preserve">1.64m + </t>
    </r>
    <r>
      <rPr>
        <sz val="11"/>
        <rFont val="Noto Sans CJK SC"/>
        <family val="2"/>
      </rPr>
      <t xml:space="preserve">곡면 현창 마감호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창호 사이 띠 </t>
    </r>
    <r>
      <rPr>
        <sz val="11"/>
        <rFont val="Arial"/>
        <family val="0"/>
        <charset val="1"/>
      </rPr>
      <t xml:space="preserve">450 x </t>
    </r>
    <r>
      <rPr>
        <sz val="11"/>
        <rFont val="Noto Sans CJK SC"/>
        <family val="2"/>
      </rPr>
      <t xml:space="preserve">호길이 약</t>
    </r>
    <r>
      <rPr>
        <sz val="11"/>
        <rFont val="Arial"/>
        <family val="0"/>
        <charset val="1"/>
      </rPr>
      <t xml:space="preserve">6.0m (v5 </t>
    </r>
    <r>
      <rPr>
        <sz val="11"/>
        <rFont val="Noto Sans CJK SC"/>
        <family val="2"/>
      </rPr>
      <t xml:space="preserve">베이 가산은 마감호 안쪽까지만 포함</t>
    </r>
    <r>
      <rPr>
        <sz val="11"/>
        <rFont val="Arial"/>
        <family val="0"/>
        <charset val="1"/>
      </rPr>
      <t xml:space="preserve">)).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38.61-&gt;42.05. </t>
    </r>
    <r>
      <rPr>
        <sz val="11"/>
        <rFont val="Noto Sans CJK SC"/>
        <family val="2"/>
      </rPr>
      <t xml:space="preserve">이전 </t>
    </r>
    <r>
      <rPr>
        <sz val="11"/>
        <rFont val="Arial"/>
        <family val="0"/>
        <charset val="1"/>
      </rPr>
      <t xml:space="preserve">review: ok</t>
    </r>
  </si>
  <si>
    <t xml:space="preserve">협회장실</t>
  </si>
  <si>
    <r>
      <rPr>
        <sz val="11"/>
        <rFont val="Arial"/>
        <family val="0"/>
        <charset val="1"/>
      </rPr>
      <t xml:space="preserve">3F_dimension_SW: </t>
    </r>
    <r>
      <rPr>
        <sz val="11"/>
        <rFont val="Noto Sans CJK SC"/>
        <family val="2"/>
      </rPr>
      <t xml:space="preserve">상부 </t>
    </r>
    <r>
      <rPr>
        <sz val="11"/>
        <rFont val="Arial"/>
        <family val="0"/>
        <charset val="1"/>
      </rPr>
      <t xml:space="preserve">5145 x (940+300+1170+105+2295 </t>
    </r>
    <r>
      <rPr>
        <sz val="11"/>
        <rFont val="Noto Sans CJK SC"/>
        <family val="2"/>
      </rPr>
      <t xml:space="preserve">중 슬라이딩벽 아래 약</t>
    </r>
    <r>
      <rPr>
        <sz val="11"/>
        <rFont val="Arial"/>
        <family val="0"/>
        <charset val="1"/>
      </rPr>
      <t xml:space="preserve">4700) = 24.18; </t>
    </r>
    <r>
      <rPr>
        <sz val="11"/>
        <rFont val="Noto Sans CJK SC"/>
        <family val="2"/>
      </rPr>
      <t xml:space="preserve">하부 </t>
    </r>
    <r>
      <rPr>
        <sz val="11"/>
        <rFont val="Arial"/>
        <family val="0"/>
        <charset val="1"/>
      </rPr>
      <t xml:space="preserve">4645('4645' </t>
    </r>
    <r>
      <rPr>
        <sz val="11"/>
        <rFont val="Noto Sans CJK SC"/>
        <family val="2"/>
      </rPr>
      <t xml:space="preserve">숫자</t>
    </r>
    <r>
      <rPr>
        <sz val="11"/>
        <rFont val="Arial"/>
        <family val="0"/>
        <charset val="1"/>
      </rPr>
      <t xml:space="preserve">) x 1500(105+410+980+105 </t>
    </r>
    <r>
      <rPr>
        <sz val="11"/>
        <rFont val="Noto Sans CJK SC"/>
        <family val="2"/>
      </rPr>
      <t xml:space="preserve">구간</t>
    </r>
    <r>
      <rPr>
        <sz val="11"/>
        <rFont val="Arial"/>
        <family val="0"/>
        <charset val="1"/>
      </rPr>
      <t xml:space="preserve">) = 6.97; </t>
    </r>
    <r>
      <rPr>
        <sz val="11"/>
        <rFont val="Noto Sans CJK SC"/>
        <family val="2"/>
      </rPr>
      <t xml:space="preserve">기둥 </t>
    </r>
    <r>
      <rPr>
        <sz val="11"/>
        <rFont val="Arial"/>
        <family val="0"/>
        <charset val="1"/>
      </rPr>
      <t xml:space="preserve">0.13 </t>
    </r>
    <r>
      <rPr>
        <sz val="11"/>
        <rFont val="Noto Sans CJK SC"/>
        <family val="2"/>
      </rPr>
      <t xml:space="preserve">공제 </t>
    </r>
    <r>
      <rPr>
        <sz val="11"/>
        <rFont val="Arial"/>
        <family val="0"/>
        <charset val="1"/>
      </rPr>
      <t xml:space="preserve">=&gt; 31.02.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동벽 </t>
    </r>
    <r>
      <rPr>
        <sz val="11"/>
        <rFont val="Arial"/>
        <family val="0"/>
        <charset val="1"/>
      </rPr>
      <t xml:space="preserve">3.76+</t>
    </r>
    <r>
      <rPr>
        <sz val="11"/>
        <rFont val="Noto Sans CJK SC"/>
        <family val="2"/>
      </rPr>
      <t xml:space="preserve">북 </t>
    </r>
    <r>
      <rPr>
        <sz val="11"/>
        <rFont val="Arial"/>
        <family val="0"/>
        <charset val="1"/>
      </rPr>
      <t xml:space="preserve">4.17+</t>
    </r>
    <r>
      <rPr>
        <sz val="11"/>
        <rFont val="Noto Sans CJK SC"/>
        <family val="2"/>
      </rPr>
      <t xml:space="preserve">서 불투명 </t>
    </r>
    <r>
      <rPr>
        <sz val="11"/>
        <rFont val="Arial"/>
        <family val="0"/>
        <charset val="1"/>
      </rPr>
      <t xml:space="preserve">3.5+</t>
    </r>
    <r>
      <rPr>
        <sz val="11"/>
        <rFont val="Noto Sans CJK SC"/>
        <family val="2"/>
      </rPr>
      <t xml:space="preserve">남 불투명 </t>
    </r>
    <r>
      <rPr>
        <sz val="11"/>
        <rFont val="Arial"/>
        <family val="0"/>
        <charset val="1"/>
      </rPr>
      <t xml:space="preserve">2.85+</t>
    </r>
    <r>
      <rPr>
        <sz val="11"/>
        <rFont val="Noto Sans CJK SC"/>
        <family val="2"/>
      </rPr>
      <t xml:space="preserve">하부 </t>
    </r>
    <r>
      <rPr>
        <sz val="11"/>
        <rFont val="Arial"/>
        <family val="0"/>
        <charset val="1"/>
      </rPr>
      <t xml:space="preserve">1.0 || [v6 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] 3F_dimension_SW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'450'(</t>
    </r>
    <r>
      <rPr>
        <sz val="11"/>
        <rFont val="Noto Sans CJK SC"/>
        <family val="2"/>
      </rPr>
      <t xml:space="preserve">마감선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창 내면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서벽</t>
    </r>
    <r>
      <rPr>
        <sz val="11"/>
        <rFont val="Arial"/>
        <family val="0"/>
        <charset val="1"/>
      </rPr>
      <t xml:space="preserve">(x512) 5.12m + </t>
    </r>
    <r>
      <rPr>
        <sz val="11"/>
        <rFont val="Noto Sans CJK SC"/>
        <family val="2"/>
      </rPr>
      <t xml:space="preserve">서측 </t>
    </r>
    <r>
      <rPr>
        <sz val="11"/>
        <rFont val="Arial"/>
        <family val="0"/>
        <charset val="1"/>
      </rPr>
      <t xml:space="preserve">450(</t>
    </r>
    <r>
      <rPr>
        <sz val="11"/>
        <rFont val="Noto Sans CJK SC"/>
        <family val="2"/>
      </rPr>
      <t xml:space="preserve">준용</t>
    </r>
    <r>
      <rPr>
        <sz val="11"/>
        <rFont val="Arial"/>
        <family val="0"/>
        <charset val="1"/>
      </rPr>
      <t xml:space="preserve">) x 6.37m - SW </t>
    </r>
    <r>
      <rPr>
        <sz val="11"/>
        <rFont val="Noto Sans CJK SC"/>
        <family val="2"/>
      </rPr>
      <t xml:space="preserve">기둥 약</t>
    </r>
    <r>
      <rPr>
        <sz val="11"/>
        <rFont val="Arial"/>
        <family val="0"/>
        <charset val="1"/>
      </rPr>
      <t xml:space="preserve">0.21. </t>
    </r>
    <r>
      <rPr>
        <sz val="11"/>
        <rFont val="Noto Sans CJK SC"/>
        <family val="2"/>
      </rPr>
      <t xml:space="preserve">계산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서측 </t>
    </r>
    <r>
      <rPr>
        <sz val="11"/>
        <rFont val="Arial"/>
        <family val="0"/>
        <charset val="1"/>
      </rPr>
      <t xml:space="preserve">450x6.37=+2.87 +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450x5.12=+2.30 + </t>
    </r>
    <r>
      <rPr>
        <sz val="11"/>
        <rFont val="Noto Sans CJK SC"/>
        <family val="2"/>
      </rPr>
      <t xml:space="preserve">기둥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=-0.21 = +4.96. </t>
    </r>
    <r>
      <rPr>
        <sz val="11"/>
        <rFont val="Noto Sans CJK SC"/>
        <family val="2"/>
      </rPr>
      <t xml:space="preserve">걸레받이는 창 하부</t>
    </r>
    <r>
      <rPr>
        <sz val="11"/>
        <rFont val="Arial"/>
        <family val="0"/>
        <charset val="1"/>
      </rPr>
      <t xml:space="preserve">(FCU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라 변경 없음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</si>
  <si>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창측 띠 </t>
    </r>
    <r>
      <rPr>
        <sz val="11"/>
        <rFont val="Arial"/>
        <family val="0"/>
        <charset val="1"/>
      </rPr>
      <t xml:space="preserve">+4.96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(3F_dimension_SW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'450'(</t>
    </r>
    <r>
      <rPr>
        <sz val="11"/>
        <rFont val="Noto Sans CJK SC"/>
        <family val="2"/>
      </rPr>
      <t xml:space="preserve">마감선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창 내면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서벽</t>
    </r>
    <r>
      <rPr>
        <sz val="11"/>
        <rFont val="Arial"/>
        <family val="0"/>
        <charset val="1"/>
      </rPr>
      <t xml:space="preserve">(x512) 5.12m + </t>
    </r>
    <r>
      <rPr>
        <sz val="11"/>
        <rFont val="Noto Sans CJK SC"/>
        <family val="2"/>
      </rPr>
      <t xml:space="preserve">서측 </t>
    </r>
    <r>
      <rPr>
        <sz val="11"/>
        <rFont val="Arial"/>
        <family val="0"/>
        <charset val="1"/>
      </rPr>
      <t xml:space="preserve">450(</t>
    </r>
    <r>
      <rPr>
        <sz val="11"/>
        <rFont val="Noto Sans CJK SC"/>
        <family val="2"/>
      </rPr>
      <t xml:space="preserve">준용</t>
    </r>
    <r>
      <rPr>
        <sz val="11"/>
        <rFont val="Arial"/>
        <family val="0"/>
        <charset val="1"/>
      </rPr>
      <t xml:space="preserve">) x 6.37m - SW </t>
    </r>
    <r>
      <rPr>
        <sz val="11"/>
        <rFont val="Noto Sans CJK SC"/>
        <family val="2"/>
      </rPr>
      <t xml:space="preserve">기둥 약</t>
    </r>
    <r>
      <rPr>
        <sz val="11"/>
        <rFont val="Arial"/>
        <family val="0"/>
        <charset val="1"/>
      </rPr>
      <t xml:space="preserve">0.21).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31.02-&gt;35.98. </t>
    </r>
    <r>
      <rPr>
        <sz val="11"/>
        <rFont val="Noto Sans CJK SC"/>
        <family val="2"/>
      </rPr>
      <t xml:space="preserve">이전 </t>
    </r>
    <r>
      <rPr>
        <sz val="11"/>
        <rFont val="Arial"/>
        <family val="0"/>
        <charset val="1"/>
      </rPr>
      <t xml:space="preserve">review: ok</t>
    </r>
  </si>
  <si>
    <r>
      <rPr>
        <sz val="11"/>
        <rFont val="Arial"/>
        <family val="0"/>
        <charset val="1"/>
      </rPr>
      <t xml:space="preserve">3F_dimension_NE: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1100+980+100=2180,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4230. </t>
    </r>
    <r>
      <rPr>
        <sz val="11"/>
        <rFont val="Noto Sans CJK SC"/>
        <family val="2"/>
      </rPr>
      <t xml:space="preserve">기둥 돌출 </t>
    </r>
    <r>
      <rPr>
        <sz val="11"/>
        <rFont val="Arial"/>
        <family val="0"/>
        <charset val="1"/>
      </rPr>
      <t xml:space="preserve">0.17 </t>
    </r>
    <r>
      <rPr>
        <sz val="11"/>
        <rFont val="Noto Sans CJK SC"/>
        <family val="2"/>
      </rPr>
      <t xml:space="preserve">공제 </t>
    </r>
    <r>
      <rPr>
        <sz val="11"/>
        <rFont val="Arial"/>
        <family val="0"/>
        <charset val="1"/>
      </rPr>
      <t xml:space="preserve">=&gt; 9.05.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둘레</t>
    </r>
    <r>
      <rPr>
        <sz val="11"/>
        <rFont val="Arial"/>
        <family val="0"/>
        <charset val="1"/>
      </rPr>
      <t xml:space="preserve">12.82-</t>
    </r>
    <r>
      <rPr>
        <sz val="11"/>
        <rFont val="Noto Sans CJK SC"/>
        <family val="2"/>
      </rPr>
      <t xml:space="preserve">문</t>
    </r>
    <r>
      <rPr>
        <sz val="11"/>
        <rFont val="Arial"/>
        <family val="0"/>
        <charset val="1"/>
      </rPr>
      <t xml:space="preserve">980=11.84</t>
    </r>
  </si>
  <si>
    <t xml:space="preserve">비서</t>
  </si>
  <si>
    <r>
      <rPr>
        <sz val="11"/>
        <rFont val="Arial"/>
        <family val="0"/>
        <charset val="1"/>
      </rPr>
      <t xml:space="preserve">3F_dimension_SW: </t>
    </r>
    <r>
      <rPr>
        <sz val="11"/>
        <rFont val="Noto Sans CJK SC"/>
        <family val="2"/>
      </rPr>
      <t xml:space="preserve">가로 </t>
    </r>
    <r>
      <rPr>
        <sz val="11"/>
        <rFont val="Arial"/>
        <family val="0"/>
        <charset val="1"/>
      </rPr>
      <t xml:space="preserve">2000+799+190+1450(+385 </t>
    </r>
    <r>
      <rPr>
        <sz val="11"/>
        <rFont val="Noto Sans CJK SC"/>
        <family val="2"/>
      </rPr>
      <t xml:space="preserve">이중벽 제외</t>
    </r>
    <r>
      <rPr>
        <sz val="11"/>
        <rFont val="Arial"/>
        <family val="0"/>
        <charset val="1"/>
      </rPr>
      <t xml:space="preserve">)=4439,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2295. 4.44x2.295.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상부 벽 </t>
    </r>
    <r>
      <rPr>
        <sz val="11"/>
        <rFont val="Arial"/>
        <family val="0"/>
        <charset val="1"/>
      </rPr>
      <t xml:space="preserve">1.745+</t>
    </r>
    <r>
      <rPr>
        <sz val="11"/>
        <rFont val="Noto Sans CJK SC"/>
        <family val="2"/>
      </rPr>
      <t xml:space="preserve">동 </t>
    </r>
    <r>
      <rPr>
        <sz val="11"/>
        <rFont val="Arial"/>
        <family val="0"/>
        <charset val="1"/>
      </rPr>
      <t xml:space="preserve">2.295+</t>
    </r>
    <r>
      <rPr>
        <sz val="11"/>
        <rFont val="Noto Sans CJK SC"/>
        <family val="2"/>
      </rPr>
      <t xml:space="preserve">서 </t>
    </r>
    <r>
      <rPr>
        <sz val="11"/>
        <rFont val="Arial"/>
        <family val="0"/>
        <charset val="1"/>
      </rPr>
      <t xml:space="preserve">2.295+</t>
    </r>
    <r>
      <rPr>
        <sz val="11"/>
        <rFont val="Noto Sans CJK SC"/>
        <family val="2"/>
      </rPr>
      <t xml:space="preserve">하부벽 </t>
    </r>
    <r>
      <rPr>
        <sz val="11"/>
        <rFont val="Arial"/>
        <family val="0"/>
        <charset val="1"/>
      </rPr>
      <t xml:space="preserve">4.44 (</t>
    </r>
    <r>
      <rPr>
        <sz val="11"/>
        <rFont val="Noto Sans CJK SC"/>
        <family val="2"/>
      </rPr>
      <t xml:space="preserve">상부 붙박이장 </t>
    </r>
    <r>
      <rPr>
        <sz val="11"/>
        <rFont val="Arial"/>
        <family val="0"/>
        <charset val="1"/>
      </rPr>
      <t xml:space="preserve">2.12·</t>
    </r>
    <r>
      <rPr>
        <sz val="11"/>
        <rFont val="Noto Sans CJK SC"/>
        <family val="2"/>
      </rPr>
      <t xml:space="preserve">개구 </t>
    </r>
    <r>
      <rPr>
        <sz val="11"/>
        <rFont val="Arial"/>
        <family val="0"/>
        <charset val="1"/>
      </rPr>
      <t xml:space="preserve">0.8 </t>
    </r>
    <r>
      <rPr>
        <sz val="11"/>
        <rFont val="Noto Sans CJK SC"/>
        <family val="2"/>
      </rPr>
      <t xml:space="preserve">제외</t>
    </r>
    <r>
      <rPr>
        <sz val="11"/>
        <rFont val="Arial"/>
        <family val="0"/>
        <charset val="1"/>
      </rPr>
      <t xml:space="preserve">)</t>
    </r>
  </si>
  <si>
    <t xml:space="preserve">LOUNGE</t>
  </si>
  <si>
    <r>
      <rPr>
        <sz val="11"/>
        <rFont val="Arial"/>
        <family val="0"/>
        <charset val="1"/>
      </rPr>
      <t xml:space="preserve">3F_dimension_NW/SW: </t>
    </r>
    <r>
      <rPr>
        <sz val="11"/>
        <rFont val="Noto Sans CJK SC"/>
        <family val="2"/>
      </rPr>
      <t xml:space="preserve">폭 접견실 동벽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코어 서벽 약</t>
    </r>
    <r>
      <rPr>
        <sz val="11"/>
        <rFont val="Arial"/>
        <family val="0"/>
        <charset val="1"/>
      </rPr>
      <t xml:space="preserve">5.74m(</t>
    </r>
    <r>
      <rPr>
        <sz val="11"/>
        <rFont val="Noto Sans CJK SC"/>
        <family val="2"/>
      </rPr>
      <t xml:space="preserve">도면비례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길이 사무총장실 하단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코어 하부 약</t>
    </r>
    <r>
      <rPr>
        <sz val="11"/>
        <rFont val="Arial"/>
        <family val="0"/>
        <charset val="1"/>
      </rPr>
      <t xml:space="preserve">9.25m(</t>
    </r>
    <r>
      <rPr>
        <sz val="11"/>
        <rFont val="Noto Sans CJK SC"/>
        <family val="2"/>
      </rPr>
      <t xml:space="preserve">도면비례</t>
    </r>
    <r>
      <rPr>
        <sz val="11"/>
        <rFont val="Arial"/>
        <family val="0"/>
        <charset val="1"/>
      </rPr>
      <t xml:space="preserve">, 1500/2400/4500 </t>
    </r>
    <r>
      <rPr>
        <sz val="11"/>
        <rFont val="Noto Sans CJK SC"/>
        <family val="2"/>
      </rPr>
      <t xml:space="preserve">숫자와 정합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숫자 직접 표기 없어 신뢰도 낮음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서측 접견실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협회장실 동벽 </t>
    </r>
    <r>
      <rPr>
        <sz val="11"/>
        <rFont val="Arial"/>
        <family val="0"/>
        <charset val="1"/>
      </rPr>
      <t xml:space="preserve">7.2+</t>
    </r>
    <r>
      <rPr>
        <sz val="11"/>
        <rFont val="Noto Sans CJK SC"/>
        <family val="2"/>
      </rPr>
      <t xml:space="preserve">북 </t>
    </r>
    <r>
      <rPr>
        <sz val="11"/>
        <rFont val="Arial"/>
        <family val="0"/>
        <charset val="1"/>
      </rPr>
      <t xml:space="preserve">1.0+</t>
    </r>
    <r>
      <rPr>
        <sz val="11"/>
        <rFont val="Noto Sans CJK SC"/>
        <family val="2"/>
      </rPr>
      <t xml:space="preserve">동 코어벽 </t>
    </r>
    <r>
      <rPr>
        <sz val="11"/>
        <rFont val="Arial"/>
        <family val="0"/>
        <charset val="1"/>
      </rPr>
      <t xml:space="preserve">7.8</t>
    </r>
  </si>
  <si>
    <r>
      <rPr>
        <sz val="11"/>
        <rFont val="Arial"/>
        <family val="0"/>
        <charset val="1"/>
      </rPr>
      <t xml:space="preserve">3F_dimension_SE: </t>
    </r>
    <r>
      <rPr>
        <sz val="11"/>
        <rFont val="Noto Sans CJK SC"/>
        <family val="2"/>
      </rPr>
      <t xml:space="preserve">세로 </t>
    </r>
    <r>
      <rPr>
        <sz val="11"/>
        <rFont val="Arial"/>
        <family val="0"/>
        <charset val="1"/>
      </rPr>
      <t xml:space="preserve">2000('2000' </t>
    </r>
    <r>
      <rPr>
        <sz val="11"/>
        <rFont val="Noto Sans CJK SC"/>
        <family val="2"/>
      </rPr>
      <t xml:space="preserve">숫자</t>
    </r>
    <r>
      <rPr>
        <sz val="11"/>
        <rFont val="Arial"/>
        <family val="0"/>
        <charset val="1"/>
      </rPr>
      <t xml:space="preserve">) x </t>
    </r>
    <r>
      <rPr>
        <sz val="11"/>
        <rFont val="Noto Sans CJK SC"/>
        <family val="2"/>
      </rPr>
      <t xml:space="preserve">가로 협회장실 동벽</t>
    </r>
    <r>
      <rPr>
        <sz val="11"/>
        <rFont val="Arial"/>
        <family val="0"/>
        <charset val="1"/>
      </rPr>
      <t xml:space="preserve">~F-2 </t>
    </r>
    <r>
      <rPr>
        <sz val="11"/>
        <rFont val="Noto Sans CJK SC"/>
        <family val="2"/>
      </rPr>
      <t xml:space="preserve">전이선</t>
    </r>
    <r>
      <rPr>
        <sz val="11"/>
        <rFont val="Arial"/>
        <family val="0"/>
        <charset val="1"/>
      </rPr>
      <t xml:space="preserve">(SE x=606) </t>
    </r>
    <r>
      <rPr>
        <sz val="11"/>
        <rFont val="Noto Sans CJK SC"/>
        <family val="2"/>
      </rPr>
      <t xml:space="preserve">약</t>
    </r>
    <r>
      <rPr>
        <sz val="11"/>
        <rFont val="Arial"/>
        <family val="0"/>
        <charset val="1"/>
      </rPr>
      <t xml:space="preserve">17.08m(</t>
    </r>
    <r>
      <rPr>
        <sz val="11"/>
        <rFont val="Noto Sans CJK SC"/>
        <family val="2"/>
      </rPr>
      <t xml:space="preserve">도면비례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코어 하부벽 </t>
    </r>
    <r>
      <rPr>
        <sz val="11"/>
        <rFont val="Arial"/>
        <family val="0"/>
        <charset val="1"/>
      </rPr>
      <t xml:space="preserve">8.5+</t>
    </r>
    <r>
      <rPr>
        <sz val="11"/>
        <rFont val="Noto Sans CJK SC"/>
        <family val="2"/>
      </rPr>
      <t xml:space="preserve">비서 상부벽 </t>
    </r>
    <r>
      <rPr>
        <sz val="11"/>
        <rFont val="Arial"/>
        <family val="0"/>
        <charset val="1"/>
      </rPr>
      <t xml:space="preserve">1.745. </t>
    </r>
    <r>
      <rPr>
        <sz val="11"/>
        <rFont val="Noto Sans CJK SC"/>
        <family val="2"/>
      </rPr>
      <t xml:space="preserve">전면 유리 제외</t>
    </r>
  </si>
  <si>
    <r>
      <rPr>
        <sz val="11"/>
        <rFont val="Arial"/>
        <family val="0"/>
        <charset val="1"/>
      </rPr>
      <t xml:space="preserve">CORRIDOR </t>
    </r>
    <r>
      <rPr>
        <sz val="11"/>
        <rFont val="Noto Sans CJK SC"/>
        <family val="2"/>
      </rPr>
      <t xml:space="preserve">동측</t>
    </r>
  </si>
  <si>
    <r>
      <rPr>
        <sz val="11"/>
        <rFont val="Arial"/>
        <family val="0"/>
        <charset val="1"/>
      </rPr>
      <t xml:space="preserve">3F_dimension_NE/SE: </t>
    </r>
    <r>
      <rPr>
        <sz val="11"/>
        <rFont val="Noto Sans CJK SC"/>
        <family val="2"/>
      </rPr>
      <t xml:space="preserve">폭 </t>
    </r>
    <r>
      <rPr>
        <sz val="11"/>
        <rFont val="Arial"/>
        <family val="0"/>
        <charset val="1"/>
      </rPr>
      <t xml:space="preserve">2000(</t>
    </r>
    <r>
      <rPr>
        <sz val="11"/>
        <rFont val="Noto Sans CJK SC"/>
        <family val="2"/>
      </rPr>
      <t xml:space="preserve">코어 동측</t>
    </r>
    <r>
      <rPr>
        <sz val="11"/>
        <rFont val="Arial"/>
        <family val="0"/>
        <charset val="1"/>
      </rPr>
      <t xml:space="preserve">~J</t>
    </r>
    <r>
      <rPr>
        <sz val="11"/>
        <rFont val="Noto Sans CJK SC"/>
        <family val="2"/>
      </rPr>
      <t xml:space="preserve">구역 서벽 </t>
    </r>
    <r>
      <rPr>
        <sz val="11"/>
        <rFont val="Arial"/>
        <family val="0"/>
        <charset val="1"/>
      </rPr>
      <t xml:space="preserve">'2000') x </t>
    </r>
    <r>
      <rPr>
        <sz val="11"/>
        <rFont val="Noto Sans CJK SC"/>
        <family val="2"/>
      </rPr>
      <t xml:space="preserve">길이 약</t>
    </r>
    <r>
      <rPr>
        <sz val="11"/>
        <rFont val="Arial"/>
        <family val="0"/>
        <charset val="1"/>
      </rPr>
      <t xml:space="preserve">7.23m(</t>
    </r>
    <r>
      <rPr>
        <sz val="11"/>
        <rFont val="Noto Sans CJK SC"/>
        <family val="2"/>
      </rPr>
      <t xml:space="preserve">코어 상단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코어 하단</t>
    </r>
    <r>
      <rPr>
        <sz val="11"/>
        <rFont val="Arial"/>
        <family val="0"/>
        <charset val="1"/>
      </rPr>
      <t xml:space="preserve">, '4000|1500|1500' </t>
    </r>
    <r>
      <rPr>
        <sz val="11"/>
        <rFont val="Noto Sans CJK SC"/>
        <family val="2"/>
      </rPr>
      <t xml:space="preserve">정합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코어 동벽 </t>
    </r>
    <r>
      <rPr>
        <sz val="11"/>
        <rFont val="Arial"/>
        <family val="0"/>
        <charset val="1"/>
      </rPr>
      <t xml:space="preserve">5.7+J</t>
    </r>
    <r>
      <rPr>
        <sz val="11"/>
        <rFont val="Noto Sans CJK SC"/>
        <family val="2"/>
      </rPr>
      <t xml:space="preserve">구역 서벽 </t>
    </r>
    <r>
      <rPr>
        <sz val="11"/>
        <rFont val="Arial"/>
        <family val="0"/>
        <charset val="1"/>
      </rPr>
      <t xml:space="preserve">3.2</t>
    </r>
  </si>
  <si>
    <r>
      <rPr>
        <sz val="11"/>
        <rFont val="Arial"/>
        <family val="0"/>
        <charset val="1"/>
      </rPr>
      <t xml:space="preserve">CORRIDOR </t>
    </r>
    <r>
      <rPr>
        <sz val="11"/>
        <rFont val="Noto Sans CJK SC"/>
        <family val="2"/>
      </rPr>
      <t xml:space="preserve">북측</t>
    </r>
  </si>
  <si>
    <r>
      <rPr>
        <sz val="11"/>
        <rFont val="Arial"/>
        <family val="0"/>
        <charset val="1"/>
      </rPr>
      <t xml:space="preserve">3F_dimension_NE: 1680+2000=3680 x 1815('1815' </t>
    </r>
    <r>
      <rPr>
        <sz val="11"/>
        <rFont val="Noto Sans CJK SC"/>
        <family val="2"/>
      </rPr>
      <t xml:space="preserve">숫자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창고 전면벽 </t>
    </r>
    <r>
      <rPr>
        <sz val="11"/>
        <rFont val="Arial"/>
        <family val="0"/>
        <charset val="1"/>
      </rPr>
      <t xml:space="preserve">1.3+</t>
    </r>
    <r>
      <rPr>
        <sz val="11"/>
        <rFont val="Noto Sans CJK SC"/>
        <family val="2"/>
      </rPr>
      <t xml:space="preserve">코어 상단벽 </t>
    </r>
    <r>
      <rPr>
        <sz val="11"/>
        <rFont val="Arial"/>
        <family val="0"/>
        <charset val="1"/>
      </rPr>
      <t xml:space="preserve">1.65</t>
    </r>
  </si>
  <si>
    <t xml:space="preserve">ELE'V HALL</t>
  </si>
  <si>
    <r>
      <rPr>
        <sz val="11"/>
        <rFont val="Arial"/>
        <family val="0"/>
        <charset val="1"/>
      </rPr>
      <t xml:space="preserve">3F_dimension_NW: </t>
    </r>
    <r>
      <rPr>
        <sz val="11"/>
        <rFont val="Noto Sans CJK SC"/>
        <family val="2"/>
      </rPr>
      <t xml:space="preserve">화장실 하부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코어 상단 띠 </t>
    </r>
    <r>
      <rPr>
        <sz val="11"/>
        <rFont val="Arial"/>
        <family val="0"/>
        <charset val="1"/>
      </rPr>
      <t xml:space="preserve">6.43x1.5('1500' </t>
    </r>
    <r>
      <rPr>
        <sz val="11"/>
        <rFont val="Noto Sans CJK SC"/>
        <family val="2"/>
      </rPr>
      <t xml:space="preserve">자동문 구간 높이</t>
    </r>
    <r>
      <rPr>
        <sz val="11"/>
        <rFont val="Arial"/>
        <family val="0"/>
        <charset val="1"/>
      </rPr>
      <t xml:space="preserve">) = 9.64 + ELE'V </t>
    </r>
    <r>
      <rPr>
        <sz val="11"/>
        <rFont val="Noto Sans CJK SC"/>
        <family val="2"/>
      </rPr>
      <t xml:space="preserve">서측 </t>
    </r>
    <r>
      <rPr>
        <sz val="11"/>
        <rFont val="Arial"/>
        <family val="0"/>
        <charset val="1"/>
      </rPr>
      <t xml:space="preserve">2.8x2.4('2400') = 6.72 =&gt; 16.36.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화장실 하벽 </t>
    </r>
    <r>
      <rPr>
        <sz val="11"/>
        <rFont val="Arial"/>
        <family val="0"/>
        <charset val="1"/>
      </rPr>
      <t xml:space="preserve">4.7+</t>
    </r>
    <r>
      <rPr>
        <sz val="11"/>
        <rFont val="Noto Sans CJK SC"/>
        <family val="2"/>
      </rPr>
      <t xml:space="preserve">코어 상단 </t>
    </r>
    <r>
      <rPr>
        <sz val="11"/>
        <rFont val="Arial"/>
        <family val="0"/>
        <charset val="1"/>
      </rPr>
      <t xml:space="preserve">5.3+</t>
    </r>
    <r>
      <rPr>
        <sz val="11"/>
        <rFont val="Noto Sans CJK SC"/>
        <family val="2"/>
      </rPr>
      <t xml:space="preserve">서벽 </t>
    </r>
    <r>
      <rPr>
        <sz val="11"/>
        <rFont val="Arial"/>
        <family val="0"/>
        <charset val="1"/>
      </rPr>
      <t xml:space="preserve">2.4+</t>
    </r>
    <r>
      <rPr>
        <sz val="11"/>
        <rFont val="Noto Sans CJK SC"/>
        <family val="2"/>
      </rPr>
      <t xml:space="preserve">기타</t>
    </r>
  </si>
  <si>
    <r>
      <rPr>
        <sz val="11"/>
        <rFont val="Arial"/>
        <family val="0"/>
        <charset val="1"/>
      </rPr>
      <t xml:space="preserve">OFFICE (</t>
    </r>
    <r>
      <rPr>
        <sz val="11"/>
        <rFont val="Noto Sans CJK SC"/>
        <family val="2"/>
      </rPr>
      <t xml:space="preserve">동측 공보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총무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입법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법제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</si>
  <si>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3F_dimension_NE/SE: </t>
    </r>
    <r>
      <rPr>
        <sz val="11"/>
        <rFont val="Noto Sans CJK SC"/>
        <family val="2"/>
      </rPr>
      <t xml:space="preserve">북측 </t>
    </r>
    <r>
      <rPr>
        <sz val="11"/>
        <rFont val="Arial"/>
        <family val="0"/>
        <charset val="1"/>
      </rPr>
      <t xml:space="preserve">4.562x6.15(</t>
    </r>
    <r>
      <rPr>
        <sz val="11"/>
        <rFont val="Noto Sans CJK SC"/>
        <family val="2"/>
      </rPr>
      <t xml:space="preserve">대회협력실 동벽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동안목 </t>
    </r>
    <r>
      <rPr>
        <sz val="11"/>
        <rFont val="Arial"/>
        <family val="0"/>
        <charset val="1"/>
      </rPr>
      <t xml:space="preserve">x </t>
    </r>
    <r>
      <rPr>
        <sz val="11"/>
        <rFont val="Noto Sans CJK SC"/>
        <family val="2"/>
      </rPr>
      <t xml:space="preserve">안목</t>
    </r>
    <r>
      <rPr>
        <sz val="11"/>
        <rFont val="Arial"/>
        <family val="0"/>
        <charset val="1"/>
      </rPr>
      <t xml:space="preserve">~'1815' </t>
    </r>
    <r>
      <rPr>
        <sz val="11"/>
        <rFont val="Noto Sans CJK SC"/>
        <family val="2"/>
      </rPr>
      <t xml:space="preserve">하단</t>
    </r>
    <r>
      <rPr>
        <sz val="11"/>
        <rFont val="Arial"/>
        <family val="0"/>
        <charset val="1"/>
      </rPr>
      <t xml:space="preserve">) 28.06; </t>
    </r>
    <r>
      <rPr>
        <sz val="11"/>
        <rFont val="Noto Sans CJK SC"/>
        <family val="2"/>
      </rPr>
      <t xml:space="preserve">대회협력실 하부 </t>
    </r>
    <r>
      <rPr>
        <sz val="11"/>
        <rFont val="Arial"/>
        <family val="0"/>
        <charset val="1"/>
      </rPr>
      <t xml:space="preserve">4.275x1.815+</t>
    </r>
    <r>
      <rPr>
        <sz val="11"/>
        <rFont val="Noto Sans CJK SC"/>
        <family val="2"/>
      </rPr>
      <t xml:space="preserve">모따기 삼각 </t>
    </r>
    <r>
      <rPr>
        <sz val="11"/>
        <rFont val="Arial"/>
        <family val="0"/>
        <charset val="1"/>
      </rPr>
      <t xml:space="preserve">0.78=8.54; 5682+700=6382 x 6.93(J</t>
    </r>
    <r>
      <rPr>
        <sz val="11"/>
        <rFont val="Noto Sans CJK SC"/>
        <family val="2"/>
      </rPr>
      <t xml:space="preserve">구역 하단까지</t>
    </r>
    <r>
      <rPr>
        <sz val="11"/>
        <rFont val="Arial"/>
        <family val="0"/>
        <charset val="1"/>
      </rPr>
      <t xml:space="preserve">) 44.23; </t>
    </r>
    <r>
      <rPr>
        <sz val="11"/>
        <rFont val="Noto Sans CJK SC"/>
        <family val="2"/>
      </rPr>
      <t xml:space="preserve">동측 곡면 베이 약</t>
    </r>
    <r>
      <rPr>
        <sz val="11"/>
        <rFont val="Arial"/>
        <family val="0"/>
        <charset val="1"/>
      </rPr>
      <t xml:space="preserve">3.8(</t>
    </r>
    <r>
      <rPr>
        <sz val="11"/>
        <rFont val="Noto Sans CJK SC"/>
        <family val="2"/>
      </rPr>
      <t xml:space="preserve">도면비례</t>
    </r>
    <r>
      <rPr>
        <sz val="11"/>
        <rFont val="Arial"/>
        <family val="0"/>
        <charset val="1"/>
      </rPr>
      <t xml:space="preserve">); F-2 </t>
    </r>
    <r>
      <rPr>
        <sz val="11"/>
        <rFont val="Noto Sans CJK SC"/>
        <family val="2"/>
      </rPr>
      <t xml:space="preserve">전이선 동측 </t>
    </r>
    <r>
      <rPr>
        <sz val="11"/>
        <rFont val="Arial"/>
        <family val="0"/>
        <charset val="1"/>
      </rPr>
      <t xml:space="preserve">7.864x2000 15.73; </t>
    </r>
    <r>
      <rPr>
        <sz val="11"/>
        <rFont val="Noto Sans CJK SC"/>
        <family val="2"/>
      </rPr>
      <t xml:space="preserve">대회의실 동측 </t>
    </r>
    <r>
      <rPr>
        <sz val="11"/>
        <rFont val="Arial"/>
        <family val="0"/>
        <charset val="1"/>
      </rPr>
      <t xml:space="preserve">4.59x3895 17.88; </t>
    </r>
    <r>
      <rPr>
        <sz val="11"/>
        <rFont val="Noto Sans CJK SC"/>
        <family val="2"/>
      </rPr>
      <t xml:space="preserve">기둥</t>
    </r>
    <r>
      <rPr>
        <sz val="11"/>
        <rFont val="Arial"/>
        <family val="0"/>
        <charset val="1"/>
      </rPr>
      <t xml:space="preserve">2 -0.52 =&gt; 117.7. </t>
    </r>
    <r>
      <rPr>
        <sz val="11"/>
        <rFont val="Noto Sans CJK SC"/>
        <family val="2"/>
      </rPr>
      <t xml:space="preserve">걸레받이</t>
    </r>
    <r>
      <rPr>
        <sz val="11"/>
        <rFont val="Arial"/>
        <family val="0"/>
        <charset val="1"/>
      </rPr>
      <t xml:space="preserve">=</t>
    </r>
    <r>
      <rPr>
        <sz val="11"/>
        <rFont val="Noto Sans CJK SC"/>
        <family val="2"/>
      </rPr>
      <t xml:space="preserve">북 </t>
    </r>
    <r>
      <rPr>
        <sz val="11"/>
        <rFont val="Arial"/>
        <family val="0"/>
        <charset val="1"/>
      </rPr>
      <t xml:space="preserve">4.56+</t>
    </r>
    <r>
      <rPr>
        <sz val="11"/>
        <rFont val="Noto Sans CJK SC"/>
        <family val="2"/>
      </rPr>
      <t xml:space="preserve">동 불투명 </t>
    </r>
    <r>
      <rPr>
        <sz val="11"/>
        <rFont val="Arial"/>
        <family val="0"/>
        <charset val="1"/>
      </rPr>
      <t xml:space="preserve">7.1+</t>
    </r>
    <r>
      <rPr>
        <sz val="11"/>
        <rFont val="Noto Sans CJK SC"/>
        <family val="2"/>
      </rPr>
      <t xml:space="preserve">대회의실 동벽 </t>
    </r>
    <r>
      <rPr>
        <sz val="11"/>
        <rFont val="Arial"/>
        <family val="0"/>
        <charset val="1"/>
      </rPr>
      <t xml:space="preserve">3.9+</t>
    </r>
    <r>
      <rPr>
        <sz val="11"/>
        <rFont val="Noto Sans CJK SC"/>
        <family val="2"/>
      </rPr>
      <t xml:space="preserve">남 불투명 </t>
    </r>
    <r>
      <rPr>
        <sz val="11"/>
        <rFont val="Arial"/>
        <family val="0"/>
        <charset val="1"/>
      </rPr>
      <t xml:space="preserve">2.7 || [v6 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] 3F_dimension_NE '5682|700|700'(</t>
    </r>
    <r>
      <rPr>
        <sz val="11"/>
        <rFont val="Noto Sans CJK SC"/>
        <family val="2"/>
      </rPr>
      <t xml:space="preserve">기둥박스 외면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700, v5 </t>
    </r>
    <r>
      <rPr>
        <sz val="11"/>
        <rFont val="Noto Sans CJK SC"/>
        <family val="2"/>
      </rPr>
      <t xml:space="preserve">경계가 </t>
    </r>
    <r>
      <rPr>
        <sz val="11"/>
        <rFont val="Arial"/>
        <family val="0"/>
        <charset val="1"/>
      </rPr>
      <t xml:space="preserve">5682+700</t>
    </r>
    <r>
      <rPr>
        <sz val="11"/>
        <rFont val="Noto Sans CJK SC"/>
        <family val="2"/>
      </rPr>
      <t xml:space="preserve">에서 끝난 구간은 </t>
    </r>
    <r>
      <rPr>
        <sz val="11"/>
        <rFont val="Arial"/>
        <family val="0"/>
        <charset val="1"/>
      </rPr>
      <t xml:space="preserve">700) + </t>
    </r>
    <r>
      <rPr>
        <sz val="11"/>
        <rFont val="Noto Sans CJK SC"/>
        <family val="2"/>
      </rPr>
      <t xml:space="preserve">마감선이 경계인 구간은 </t>
    </r>
    <r>
      <rPr>
        <sz val="11"/>
        <rFont val="Arial"/>
        <family val="0"/>
        <charset val="1"/>
      </rPr>
      <t xml:space="preserve">2F '439' </t>
    </r>
    <r>
      <rPr>
        <sz val="11"/>
        <rFont val="Noto Sans CJK SC"/>
        <family val="2"/>
      </rPr>
      <t xml:space="preserve">준용 </t>
    </r>
    <r>
      <rPr>
        <sz val="11"/>
        <rFont val="Arial"/>
        <family val="0"/>
        <charset val="1"/>
      </rPr>
      <t xml:space="preserve">440 + </t>
    </r>
    <r>
      <rPr>
        <sz val="11"/>
        <rFont val="Noto Sans CJK SC"/>
        <family val="2"/>
      </rPr>
      <t xml:space="preserve">곡면 현창 띠 </t>
    </r>
    <r>
      <rPr>
        <sz val="11"/>
        <rFont val="Arial"/>
        <family val="0"/>
        <charset val="1"/>
      </rPr>
      <t xml:space="preserve">440 x </t>
    </r>
    <r>
      <rPr>
        <sz val="11"/>
        <rFont val="Noto Sans CJK SC"/>
        <family val="2"/>
      </rPr>
      <t xml:space="preserve">호길이 </t>
    </r>
    <r>
      <rPr>
        <sz val="11"/>
        <rFont val="Arial"/>
        <family val="0"/>
        <charset val="1"/>
      </rPr>
      <t xml:space="preserve">6.0 +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'550' x </t>
    </r>
    <r>
      <rPr>
        <sz val="11"/>
        <rFont val="Noto Sans CJK SC"/>
        <family val="2"/>
      </rPr>
      <t xml:space="preserve">대회의실 동벽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동측 창 </t>
    </r>
    <r>
      <rPr>
        <sz val="11"/>
        <rFont val="Arial"/>
        <family val="0"/>
        <charset val="1"/>
      </rPr>
      <t xml:space="preserve">5.44 - </t>
    </r>
    <r>
      <rPr>
        <sz val="11"/>
        <rFont val="Noto Sans CJK SC"/>
        <family val="2"/>
      </rPr>
      <t xml:space="preserve">기둥 </t>
    </r>
    <r>
      <rPr>
        <sz val="11"/>
        <rFont val="Arial"/>
        <family val="0"/>
        <charset val="1"/>
      </rPr>
      <t xml:space="preserve">0.21. </t>
    </r>
    <r>
      <rPr>
        <sz val="11"/>
        <rFont val="Noto Sans CJK SC"/>
        <family val="2"/>
      </rPr>
      <t xml:space="preserve">계산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동측 북블록 </t>
    </r>
    <r>
      <rPr>
        <sz val="11"/>
        <rFont val="Arial"/>
        <family val="0"/>
        <charset val="1"/>
      </rPr>
      <t xml:space="preserve">440x5.71=+2.51 + </t>
    </r>
    <r>
      <rPr>
        <sz val="11"/>
        <rFont val="Noto Sans CJK SC"/>
        <family val="2"/>
      </rPr>
      <t xml:space="preserve">동측 직선 </t>
    </r>
    <r>
      <rPr>
        <sz val="11"/>
        <rFont val="Arial"/>
        <family val="0"/>
        <charset val="1"/>
      </rPr>
      <t xml:space="preserve">700x0.93=+0.65 + </t>
    </r>
    <r>
      <rPr>
        <sz val="11"/>
        <rFont val="Noto Sans CJK SC"/>
        <family val="2"/>
      </rPr>
      <t xml:space="preserve">동측 곡면 베이 띠 </t>
    </r>
    <r>
      <rPr>
        <sz val="11"/>
        <rFont val="Arial"/>
        <family val="0"/>
        <charset val="1"/>
      </rPr>
      <t xml:space="preserve">440x6.0=+2.64 + </t>
    </r>
    <r>
      <rPr>
        <sz val="11"/>
        <rFont val="Noto Sans CJK SC"/>
        <family val="2"/>
      </rPr>
      <t xml:space="preserve">동측 남블록 </t>
    </r>
    <r>
      <rPr>
        <sz val="11"/>
        <rFont val="Arial"/>
        <family val="0"/>
        <charset val="1"/>
      </rPr>
      <t xml:space="preserve">440x6.26=+2.75 +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550x5.44=+2.99 + </t>
    </r>
    <r>
      <rPr>
        <sz val="11"/>
        <rFont val="Noto Sans CJK SC"/>
        <family val="2"/>
      </rPr>
      <t xml:space="preserve">기둥</t>
    </r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공제</t>
    </r>
    <r>
      <rPr>
        <sz val="11"/>
        <rFont val="Arial"/>
        <family val="0"/>
        <charset val="1"/>
      </rPr>
      <t xml:space="preserve">=-0.21 = +11.34. </t>
    </r>
    <r>
      <rPr>
        <sz val="11"/>
        <rFont val="Noto Sans CJK SC"/>
        <family val="2"/>
      </rPr>
      <t xml:space="preserve">걸레받이는 창 하부</t>
    </r>
    <r>
      <rPr>
        <sz val="11"/>
        <rFont val="Arial"/>
        <family val="0"/>
        <charset val="1"/>
      </rPr>
      <t xml:space="preserve">(FCU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라 변경 없음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</si>
  <si>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창측 띠 </t>
    </r>
    <r>
      <rPr>
        <sz val="11"/>
        <rFont val="Arial"/>
        <family val="0"/>
        <charset val="1"/>
      </rPr>
      <t xml:space="preserve">+11.34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(3F_dimension_NE '5682|700|700'(</t>
    </r>
    <r>
      <rPr>
        <sz val="11"/>
        <rFont val="Noto Sans CJK SC"/>
        <family val="2"/>
      </rPr>
      <t xml:space="preserve">기둥박스 외면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창 </t>
    </r>
    <r>
      <rPr>
        <sz val="11"/>
        <rFont val="Arial"/>
        <family val="0"/>
        <charset val="1"/>
      </rPr>
      <t xml:space="preserve">700, v5 </t>
    </r>
    <r>
      <rPr>
        <sz val="11"/>
        <rFont val="Noto Sans CJK SC"/>
        <family val="2"/>
      </rPr>
      <t xml:space="preserve">경계가 </t>
    </r>
    <r>
      <rPr>
        <sz val="11"/>
        <rFont val="Arial"/>
        <family val="0"/>
        <charset val="1"/>
      </rPr>
      <t xml:space="preserve">5682+700</t>
    </r>
    <r>
      <rPr>
        <sz val="11"/>
        <rFont val="Noto Sans CJK SC"/>
        <family val="2"/>
      </rPr>
      <t xml:space="preserve">에서 끝난 구간은 </t>
    </r>
    <r>
      <rPr>
        <sz val="11"/>
        <rFont val="Arial"/>
        <family val="0"/>
        <charset val="1"/>
      </rPr>
      <t xml:space="preserve">700) + </t>
    </r>
    <r>
      <rPr>
        <sz val="11"/>
        <rFont val="Noto Sans CJK SC"/>
        <family val="2"/>
      </rPr>
      <t xml:space="preserve">마감선이 경계인 구간은 </t>
    </r>
    <r>
      <rPr>
        <sz val="11"/>
        <rFont val="Arial"/>
        <family val="0"/>
        <charset val="1"/>
      </rPr>
      <t xml:space="preserve">2F '439' </t>
    </r>
    <r>
      <rPr>
        <sz val="11"/>
        <rFont val="Noto Sans CJK SC"/>
        <family val="2"/>
      </rPr>
      <t xml:space="preserve">준용 </t>
    </r>
    <r>
      <rPr>
        <sz val="11"/>
        <rFont val="Arial"/>
        <family val="0"/>
        <charset val="1"/>
      </rPr>
      <t xml:space="preserve">440 + </t>
    </r>
    <r>
      <rPr>
        <sz val="11"/>
        <rFont val="Noto Sans CJK SC"/>
        <family val="2"/>
      </rPr>
      <t xml:space="preserve">곡면 현창 띠 </t>
    </r>
    <r>
      <rPr>
        <sz val="11"/>
        <rFont val="Arial"/>
        <family val="0"/>
        <charset val="1"/>
      </rPr>
      <t xml:space="preserve">440 x </t>
    </r>
    <r>
      <rPr>
        <sz val="11"/>
        <rFont val="Noto Sans CJK SC"/>
        <family val="2"/>
      </rPr>
      <t xml:space="preserve">호길이 </t>
    </r>
    <r>
      <rPr>
        <sz val="11"/>
        <rFont val="Arial"/>
        <family val="0"/>
        <charset val="1"/>
      </rPr>
      <t xml:space="preserve">6.0 + </t>
    </r>
    <r>
      <rPr>
        <sz val="11"/>
        <rFont val="Noto Sans CJK SC"/>
        <family val="2"/>
      </rPr>
      <t xml:space="preserve">남측 </t>
    </r>
    <r>
      <rPr>
        <sz val="11"/>
        <rFont val="Arial"/>
        <family val="0"/>
        <charset val="1"/>
      </rPr>
      <t xml:space="preserve">'550' x </t>
    </r>
    <r>
      <rPr>
        <sz val="11"/>
        <rFont val="Noto Sans CJK SC"/>
        <family val="2"/>
      </rPr>
      <t xml:space="preserve">대회의실 동벽</t>
    </r>
    <r>
      <rPr>
        <sz val="11"/>
        <rFont val="Arial"/>
        <family val="0"/>
        <charset val="1"/>
      </rPr>
      <t xml:space="preserve">~</t>
    </r>
    <r>
      <rPr>
        <sz val="11"/>
        <rFont val="Noto Sans CJK SC"/>
        <family val="2"/>
      </rPr>
      <t xml:space="preserve">동측 창 </t>
    </r>
    <r>
      <rPr>
        <sz val="11"/>
        <rFont val="Arial"/>
        <family val="0"/>
        <charset val="1"/>
      </rPr>
      <t xml:space="preserve">5.44 - </t>
    </r>
    <r>
      <rPr>
        <sz val="11"/>
        <rFont val="Noto Sans CJK SC"/>
        <family val="2"/>
      </rPr>
      <t xml:space="preserve">기둥 </t>
    </r>
    <r>
      <rPr>
        <sz val="11"/>
        <rFont val="Arial"/>
        <family val="0"/>
        <charset val="1"/>
      </rPr>
      <t xml:space="preserve">0.21).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117.71-&gt;129.05. </t>
    </r>
    <r>
      <rPr>
        <sz val="11"/>
        <rFont val="Noto Sans CJK SC"/>
        <family val="2"/>
      </rPr>
      <t xml:space="preserve">이전 </t>
    </r>
    <r>
      <rPr>
        <sz val="11"/>
        <rFont val="Arial"/>
        <family val="0"/>
        <charset val="1"/>
      </rPr>
      <t xml:space="preserve">review: ok</t>
    </r>
  </si>
  <si>
    <r>
      <rPr>
        <b val="true"/>
        <sz val="13"/>
        <rFont val="Noto Sans CJK SC"/>
        <family val="2"/>
      </rPr>
      <t xml:space="preserve">견적팀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발주처에 확인할 항목 </t>
    </r>
    <r>
      <rPr>
        <b val="true"/>
        <sz val="13"/>
        <rFont val="Arial"/>
        <family val="0"/>
        <charset val="1"/>
      </rPr>
      <t xml:space="preserve">(AI</t>
    </r>
    <r>
      <rPr>
        <b val="true"/>
        <sz val="13"/>
        <rFont val="Noto Sans CJK SC"/>
        <family val="2"/>
      </rPr>
      <t xml:space="preserve">가 혼자 결정하면 안 되는 경계</t>
    </r>
    <r>
      <rPr>
        <b val="true"/>
        <sz val="13"/>
        <rFont val="Arial"/>
        <family val="0"/>
        <charset val="1"/>
      </rPr>
      <t xml:space="preserve">)</t>
    </r>
  </si>
  <si>
    <t xml:space="preserve">#</t>
  </si>
  <si>
    <t xml:space="preserve">항목</t>
  </si>
  <si>
    <t xml:space="preserve">근거</t>
  </si>
  <si>
    <t xml:space="preserve">수량 영향</t>
  </si>
  <si>
    <t xml:space="preserve">질문</t>
  </si>
  <si>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(FCU </t>
    </r>
    <r>
      <rPr>
        <sz val="11"/>
        <rFont val="Noto Sans CJK SC"/>
        <family val="2"/>
      </rPr>
      <t xml:space="preserve">박스 구간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포함 여부</t>
    </r>
  </si>
  <si>
    <r>
      <rPr>
        <sz val="11"/>
        <rFont val="Noto Sans CJK SC"/>
        <family val="2"/>
      </rPr>
      <t xml:space="preserve">치수선이 창 앞에서 끝나고 </t>
    </r>
    <r>
      <rPr>
        <sz val="11"/>
        <rFont val="Arial"/>
        <family val="0"/>
        <charset val="1"/>
      </rPr>
      <t xml:space="preserve">555/450/439mm </t>
    </r>
    <r>
      <rPr>
        <sz val="11"/>
        <rFont val="Noto Sans CJK SC"/>
        <family val="2"/>
      </rPr>
      <t xml:space="preserve">띠가 별도 기재</t>
    </r>
    <r>
      <rPr>
        <sz val="11"/>
        <rFont val="Arial"/>
        <family val="0"/>
        <charset val="1"/>
      </rPr>
      <t xml:space="preserve">. AI</t>
    </r>
    <r>
      <rPr>
        <sz val="11"/>
        <rFont val="Noto Sans CJK SC"/>
        <family val="2"/>
      </rPr>
      <t xml:space="preserve">가 처음엔 이 띠를 빠뜨려 창가 회의실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임원실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곳이 </t>
    </r>
    <r>
      <rPr>
        <sz val="11"/>
        <rFont val="Arial"/>
        <family val="0"/>
        <charset val="1"/>
      </rPr>
      <t xml:space="preserve">10~19% </t>
    </r>
    <r>
      <rPr>
        <sz val="11"/>
        <rFont val="Noto Sans CJK SC"/>
        <family val="2"/>
      </rPr>
      <t xml:space="preserve">작게 나옴</t>
    </r>
  </si>
  <si>
    <r>
      <rPr>
        <sz val="11"/>
        <rFont val="Arial"/>
        <family val="0"/>
        <charset val="1"/>
      </rPr>
      <t xml:space="preserve">+61.1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(2F 31.4, 3F 29.8)</t>
    </r>
  </si>
  <si>
    <r>
      <rPr>
        <sz val="11"/>
        <rFont val="Arial"/>
        <family val="0"/>
        <charset val="1"/>
      </rPr>
      <t xml:space="preserve">FCU </t>
    </r>
    <r>
      <rPr>
        <sz val="11"/>
        <rFont val="Noto Sans CJK SC"/>
        <family val="2"/>
      </rPr>
      <t xml:space="preserve">박스 하부까지 바닥재를 까나요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박스 앞에서 끊나요</t>
    </r>
    <r>
      <rPr>
        <sz val="11"/>
        <rFont val="Arial"/>
        <family val="0"/>
        <charset val="1"/>
      </rPr>
      <t xml:space="preserve">?</t>
    </r>
  </si>
  <si>
    <t xml:space="preserve">내역 코드 번호 ≠ 도면 범례 번호</t>
  </si>
  <si>
    <r>
      <rPr>
        <sz val="11"/>
        <rFont val="Noto Sans CJK SC"/>
        <family val="2"/>
      </rPr>
      <t xml:space="preserve">도면에는 </t>
    </r>
    <r>
      <rPr>
        <sz val="11"/>
        <rFont val="Arial"/>
        <family val="0"/>
        <charset val="1"/>
      </rPr>
      <t xml:space="preserve">CT-01~03</t>
    </r>
    <r>
      <rPr>
        <sz val="11"/>
        <rFont val="Noto Sans CJK SC"/>
        <family val="2"/>
      </rPr>
      <t xml:space="preserve">만 있는데 내역에는 </t>
    </r>
    <r>
      <rPr>
        <sz val="11"/>
        <rFont val="Arial"/>
        <family val="0"/>
        <charset val="1"/>
      </rPr>
      <t xml:space="preserve">CT-01~05. </t>
    </r>
    <r>
      <rPr>
        <sz val="11"/>
        <rFont val="Noto Sans CJK SC"/>
        <family val="2"/>
      </rPr>
      <t xml:space="preserve">내역 </t>
    </r>
    <r>
      <rPr>
        <sz val="11"/>
        <rFont val="Arial"/>
        <family val="0"/>
        <charset val="1"/>
      </rPr>
      <t xml:space="preserve">CT-01(101</t>
    </r>
    <r>
      <rPr>
        <sz val="11"/>
        <rFont val="Noto Sans CJK SC"/>
        <family val="2"/>
      </rPr>
      <t xml:space="preserve">㎡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이 도면 </t>
    </r>
    <r>
      <rPr>
        <sz val="11"/>
        <rFont val="Arial"/>
        <family val="0"/>
        <charset val="1"/>
      </rPr>
      <t xml:space="preserve">CT-01 </t>
    </r>
    <r>
      <rPr>
        <sz val="11"/>
        <rFont val="Noto Sans CJK SC"/>
        <family val="2"/>
      </rPr>
      <t xml:space="preserve">실</t>
    </r>
    <r>
      <rPr>
        <sz val="11"/>
        <rFont val="Arial"/>
        <family val="0"/>
        <charset val="1"/>
      </rPr>
      <t xml:space="preserve">(B1 </t>
    </r>
    <r>
      <rPr>
        <sz val="11"/>
        <rFont val="Noto Sans CJK SC"/>
        <family val="2"/>
      </rPr>
      <t xml:space="preserve">대회의실 </t>
    </r>
    <r>
      <rPr>
        <sz val="11"/>
        <rFont val="Arial"/>
        <family val="0"/>
        <charset val="1"/>
      </rPr>
      <t xml:space="preserve">135</t>
    </r>
    <r>
      <rPr>
        <sz val="11"/>
        <rFont val="Noto Sans CJK SC"/>
        <family val="2"/>
      </rPr>
      <t xml:space="preserve">㎡ 단독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보다 작음 → 번호 체계가 다름</t>
    </r>
  </si>
  <si>
    <t xml:space="preserve">코드별 대조 불가</t>
  </si>
  <si>
    <r>
      <rPr>
        <sz val="11"/>
        <rFont val="Noto Sans CJK SC"/>
        <family val="2"/>
      </rPr>
      <t xml:space="preserve">내역 </t>
    </r>
    <r>
      <rPr>
        <sz val="11"/>
        <rFont val="Arial"/>
        <family val="0"/>
        <charset val="1"/>
      </rPr>
      <t xml:space="preserve">CT-01~05</t>
    </r>
    <r>
      <rPr>
        <sz val="11"/>
        <rFont val="Noto Sans CJK SC"/>
        <family val="2"/>
      </rPr>
      <t xml:space="preserve">가 각각 어느 실인지 매핑표가 있나요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</si>
  <si>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데코타일 면적 차이 </t>
    </r>
    <r>
      <rPr>
        <sz val="11"/>
        <rFont val="Arial"/>
        <family val="0"/>
        <charset val="1"/>
      </rPr>
      <t xml:space="preserve">+103</t>
    </r>
    <r>
      <rPr>
        <sz val="11"/>
        <rFont val="Noto Sans CJK SC"/>
        <family val="2"/>
      </rPr>
      <t xml:space="preserve">㎡</t>
    </r>
  </si>
  <si>
    <r>
      <rPr>
        <sz val="11"/>
        <rFont val="Noto Sans CJK SC"/>
        <family val="2"/>
      </rPr>
      <t xml:space="preserve">도면에서 코드가 붙은 </t>
    </r>
    <r>
      <rPr>
        <sz val="11"/>
        <rFont val="Arial"/>
        <family val="0"/>
        <charset val="1"/>
      </rPr>
      <t xml:space="preserve">DT </t>
    </r>
    <r>
      <rPr>
        <sz val="11"/>
        <rFont val="Noto Sans CJK SC"/>
        <family val="2"/>
      </rPr>
      <t xml:space="preserve">면적 </t>
    </r>
    <r>
      <rPr>
        <sz val="11"/>
        <rFont val="Arial"/>
        <family val="0"/>
        <charset val="1"/>
      </rPr>
      <t xml:space="preserve">760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vs </t>
    </r>
    <r>
      <rPr>
        <sz val="11"/>
        <rFont val="Noto Sans CJK SC"/>
        <family val="2"/>
      </rPr>
      <t xml:space="preserve">내역 </t>
    </r>
    <r>
      <rPr>
        <sz val="11"/>
        <rFont val="Arial"/>
        <family val="0"/>
        <charset val="1"/>
      </rPr>
      <t xml:space="preserve">863</t>
    </r>
    <r>
      <rPr>
        <sz val="11"/>
        <rFont val="Noto Sans CJK SC"/>
        <family val="2"/>
      </rPr>
      <t xml:space="preserve">㎡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후보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태그 없이 문구만 있는 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서버실</t>
    </r>
    <r>
      <rPr>
        <sz val="11"/>
        <rFont val="Arial"/>
        <family val="0"/>
        <charset val="1"/>
      </rPr>
      <t xml:space="preserve">·INFO·O.A ROOM </t>
    </r>
    <r>
      <rPr>
        <sz val="11"/>
        <rFont val="Noto Sans CJK SC"/>
        <family val="2"/>
      </rPr>
      <t xml:space="preserve">등 무코드 실</t>
    </r>
    <r>
      <rPr>
        <sz val="11"/>
        <rFont val="Arial"/>
        <family val="0"/>
        <charset val="1"/>
      </rPr>
      <t xml:space="preserve">, B1 </t>
    </r>
    <r>
      <rPr>
        <sz val="11"/>
        <rFont val="Noto Sans CJK SC"/>
        <family val="2"/>
      </rPr>
      <t xml:space="preserve">미표기 구역</t>
    </r>
  </si>
  <si>
    <r>
      <rPr>
        <sz val="11"/>
        <rFont val="Arial"/>
        <family val="0"/>
        <charset val="1"/>
      </rPr>
      <t xml:space="preserve">+103</t>
    </r>
    <r>
      <rPr>
        <sz val="11"/>
        <rFont val="Noto Sans CJK SC"/>
        <family val="2"/>
      </rPr>
      <t xml:space="preserve">㎡</t>
    </r>
  </si>
  <si>
    <r>
      <rPr>
        <sz val="11"/>
        <rFont val="Noto Sans CJK SC"/>
        <family val="2"/>
      </rPr>
      <t xml:space="preserve">코드 태그가 없는 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서버실 등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도 데코타일로 산출하나요</t>
    </r>
    <r>
      <rPr>
        <sz val="11"/>
        <rFont val="Arial"/>
        <family val="0"/>
        <charset val="1"/>
      </rPr>
      <t xml:space="preserve">?</t>
    </r>
  </si>
  <si>
    <t xml:space="preserve">태그 없는 실의 마감 문구</t>
  </si>
  <si>
    <r>
      <rPr>
        <sz val="11"/>
        <rFont val="Arial"/>
        <family val="0"/>
        <charset val="1"/>
      </rPr>
      <t xml:space="preserve">B1 </t>
    </r>
    <r>
      <rPr>
        <sz val="11"/>
        <rFont val="Noto Sans CJK SC"/>
        <family val="2"/>
      </rPr>
      <t xml:space="preserve">기사대기실 </t>
    </r>
    <r>
      <rPr>
        <sz val="11"/>
        <rFont val="Arial"/>
        <family val="0"/>
        <charset val="1"/>
      </rPr>
      <t xml:space="preserve">'~DELUXE TILE FIN.', 2F </t>
    </r>
    <r>
      <rPr>
        <sz val="11"/>
        <rFont val="Noto Sans CJK SC"/>
        <family val="2"/>
      </rPr>
      <t xml:space="preserve">직원휴게실 </t>
    </r>
    <r>
      <rPr>
        <sz val="11"/>
        <rFont val="Arial"/>
        <family val="0"/>
        <charset val="1"/>
      </rPr>
      <t xml:space="preserve">'~DECO TILE FIN.' </t>
    </r>
    <r>
      <rPr>
        <sz val="11"/>
        <rFont val="Noto Sans CJK SC"/>
        <family val="2"/>
      </rPr>
      <t xml:space="preserve">등 코드 태그 없이 문구만 있음</t>
    </r>
  </si>
  <si>
    <r>
      <rPr>
        <sz val="11"/>
        <rFont val="Noto Sans CJK SC"/>
        <family val="2"/>
      </rPr>
      <t xml:space="preserve">약 </t>
    </r>
    <r>
      <rPr>
        <sz val="11"/>
        <rFont val="Arial"/>
        <family val="0"/>
        <charset val="1"/>
      </rPr>
      <t xml:space="preserve">21</t>
    </r>
    <r>
      <rPr>
        <sz val="11"/>
        <rFont val="Noto Sans CJK SC"/>
        <family val="2"/>
      </rPr>
      <t xml:space="preserve">㎡</t>
    </r>
  </si>
  <si>
    <r>
      <rPr>
        <sz val="11"/>
        <rFont val="Noto Sans CJK SC"/>
        <family val="2"/>
      </rPr>
      <t xml:space="preserve">문구만 있는 실도 해당 코드로 산출하나요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</si>
  <si>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단상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우드플로링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하부</t>
    </r>
  </si>
  <si>
    <r>
      <rPr>
        <sz val="11"/>
        <rFont val="Arial"/>
        <family val="0"/>
        <charset val="1"/>
      </rPr>
      <t xml:space="preserve">B1 </t>
    </r>
    <r>
      <rPr>
        <sz val="11"/>
        <rFont val="Noto Sans CJK SC"/>
        <family val="2"/>
      </rPr>
      <t xml:space="preserve">다목적 대회의실 단상 </t>
    </r>
    <r>
      <rPr>
        <sz val="11"/>
        <rFont val="Arial"/>
        <family val="0"/>
        <charset val="1"/>
      </rPr>
      <t xml:space="preserve">6000x1200 - </t>
    </r>
    <r>
      <rPr>
        <sz val="11"/>
        <rFont val="Noto Sans CJK SC"/>
        <family val="2"/>
      </rPr>
      <t xml:space="preserve">내역에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단상설치 </t>
    </r>
    <r>
      <rPr>
        <sz val="11"/>
        <rFont val="Arial"/>
        <family val="0"/>
        <charset val="1"/>
      </rPr>
      <t xml:space="preserve">1EA' </t>
    </r>
    <r>
      <rPr>
        <sz val="11"/>
        <rFont val="Noto Sans CJK SC"/>
        <family val="2"/>
      </rPr>
      <t xml:space="preserve">별도</t>
    </r>
  </si>
  <si>
    <r>
      <rPr>
        <sz val="11"/>
        <rFont val="Arial"/>
        <family val="0"/>
        <charset val="1"/>
      </rPr>
      <t xml:space="preserve">-7.2</t>
    </r>
    <r>
      <rPr>
        <sz val="11"/>
        <rFont val="Noto Sans CJK SC"/>
        <family val="2"/>
      </rPr>
      <t xml:space="preserve">㎡ </t>
    </r>
    <r>
      <rPr>
        <sz val="11"/>
        <rFont val="Arial"/>
        <family val="0"/>
        <charset val="1"/>
      </rPr>
      <t xml:space="preserve">(CT-01)</t>
    </r>
  </si>
  <si>
    <r>
      <rPr>
        <sz val="11"/>
        <rFont val="Noto Sans CJK SC"/>
        <family val="2"/>
      </rPr>
      <t xml:space="preserve">단상 하부에 카펫을 깔지 않는 게 맞나요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</si>
  <si>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규격 불일치 </t>
    </r>
    <r>
      <rPr>
        <sz val="11"/>
        <rFont val="Arial"/>
        <family val="0"/>
        <charset val="1"/>
      </rPr>
      <t xml:space="preserve">DE-01</t>
    </r>
  </si>
  <si>
    <r>
      <rPr>
        <sz val="11"/>
        <rFont val="Noto Sans CJK SC"/>
        <family val="2"/>
      </rPr>
      <t xml:space="preserve">내역 </t>
    </r>
    <r>
      <rPr>
        <sz val="11"/>
        <rFont val="Arial"/>
        <family val="0"/>
        <charset val="1"/>
      </rPr>
      <t xml:space="preserve">300x300 ↔ </t>
    </r>
    <r>
      <rPr>
        <sz val="11"/>
        <rFont val="Noto Sans CJK SC"/>
        <family val="2"/>
      </rPr>
      <t xml:space="preserve">도면 범례 </t>
    </r>
    <r>
      <rPr>
        <sz val="11"/>
        <rFont val="Arial"/>
        <family val="0"/>
        <charset val="1"/>
      </rPr>
      <t xml:space="preserve">450x450</t>
    </r>
  </si>
  <si>
    <t xml:space="preserve">단가 영향</t>
  </si>
  <si>
    <r>
      <rPr>
        <sz val="11"/>
        <rFont val="Noto Sans CJK SC"/>
        <family val="2"/>
      </rPr>
      <t xml:space="preserve">최종 규격은 어느 쪽인가요</t>
    </r>
    <r>
      <rPr>
        <sz val="11"/>
        <rFont val="Arial"/>
        <family val="0"/>
        <charset val="1"/>
      </rPr>
      <t xml:space="preserve">?</t>
    </r>
  </si>
  <si>
    <r>
      <rPr>
        <sz val="11"/>
        <rFont val="Noto Sans CJK SC"/>
        <family val="2"/>
      </rPr>
      <t xml:space="preserve">규격 불일치 </t>
    </r>
    <r>
      <rPr>
        <sz val="11"/>
        <rFont val="Arial"/>
        <family val="0"/>
        <charset val="1"/>
      </rPr>
      <t xml:space="preserve">DT-01</t>
    </r>
  </si>
  <si>
    <r>
      <rPr>
        <sz val="11"/>
        <rFont val="Noto Sans CJK SC"/>
        <family val="2"/>
      </rPr>
      <t xml:space="preserve">내역 </t>
    </r>
    <r>
      <rPr>
        <sz val="11"/>
        <rFont val="Arial"/>
        <family val="0"/>
        <charset val="1"/>
      </rPr>
      <t xml:space="preserve">450x450 ↔ MATERIAL LIST 600x600 T5</t>
    </r>
  </si>
  <si>
    <t xml:space="preserve">폴딩도어 구간 걸레받이</t>
  </si>
  <si>
    <t xml:space="preserve">이동식 칸막이 하부는 벽이 아니므로 제외로 처리</t>
  </si>
  <si>
    <r>
      <rPr>
        <sz val="11"/>
        <rFont val="Noto Sans CJK SC"/>
        <family val="2"/>
      </rPr>
      <t xml:space="preserve">수 </t>
    </r>
    <r>
      <rPr>
        <sz val="11"/>
        <rFont val="Arial"/>
        <family val="0"/>
        <charset val="1"/>
      </rPr>
      <t xml:space="preserve">m</t>
    </r>
  </si>
  <si>
    <r>
      <rPr>
        <sz val="11"/>
        <rFont val="Noto Sans CJK SC"/>
        <family val="2"/>
      </rPr>
      <t xml:space="preserve">폴딩도어 하부 걸레받이 처리 기준은</t>
    </r>
    <r>
      <rPr>
        <sz val="11"/>
        <rFont val="Arial"/>
        <family val="0"/>
        <charset val="1"/>
      </rPr>
      <t xml:space="preserve">?</t>
    </r>
  </si>
  <si>
    <t xml:space="preserve">걸레받이 총량 차이</t>
  </si>
  <si>
    <r>
      <rPr>
        <sz val="11"/>
        <rFont val="Arial"/>
        <family val="0"/>
        <charset val="1"/>
      </rPr>
      <t xml:space="preserve">AI 460m vs </t>
    </r>
    <r>
      <rPr>
        <sz val="11"/>
        <rFont val="Noto Sans CJK SC"/>
        <family val="2"/>
      </rPr>
      <t xml:space="preserve">내역 </t>
    </r>
    <r>
      <rPr>
        <sz val="11"/>
        <rFont val="Arial"/>
        <family val="0"/>
        <charset val="1"/>
      </rPr>
      <t xml:space="preserve">765m. </t>
    </r>
    <r>
      <rPr>
        <sz val="11"/>
        <rFont val="Noto Sans CJK SC"/>
        <family val="2"/>
      </rPr>
      <t xml:space="preserve">열린 사무실 외곽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기둥 둘레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가구 뒤 처리 기준이 다른 것으로 추정</t>
    </r>
  </si>
  <si>
    <t xml:space="preserve">-305m</t>
  </si>
  <si>
    <r>
      <rPr>
        <sz val="11"/>
        <rFont val="Noto Sans CJK SC"/>
        <family val="2"/>
      </rPr>
      <t xml:space="preserve">기둥 둘레와 붙박이 가구 뒤에도 걸레받이를 넣나요</t>
    </r>
    <r>
      <rPr>
        <sz val="11"/>
        <rFont val="Arial"/>
        <family val="0"/>
        <charset val="1"/>
      </rPr>
      <t xml:space="preserve">?</t>
    </r>
  </si>
  <si>
    <r>
      <rPr>
        <b val="true"/>
        <sz val="13"/>
        <rFont val="Noto Sans CJK SC"/>
        <family val="2"/>
      </rPr>
      <t xml:space="preserve">하네스 실험 기록 </t>
    </r>
    <r>
      <rPr>
        <b val="true"/>
        <sz val="13"/>
        <rFont val="Arial"/>
        <family val="0"/>
        <charset val="1"/>
      </rPr>
      <t xml:space="preserve">- </t>
    </r>
    <r>
      <rPr>
        <b val="true"/>
        <sz val="13"/>
        <rFont val="Noto Sans CJK SC"/>
        <family val="2"/>
      </rPr>
      <t xml:space="preserve">같은 도면</t>
    </r>
    <r>
      <rPr>
        <b val="true"/>
        <sz val="13"/>
        <rFont val="Arial"/>
        <family val="0"/>
        <charset val="1"/>
      </rPr>
      <t xml:space="preserve">, </t>
    </r>
    <r>
      <rPr>
        <b val="true"/>
        <sz val="13"/>
        <rFont val="Noto Sans CJK SC"/>
        <family val="2"/>
      </rPr>
      <t xml:space="preserve">같은 모델</t>
    </r>
    <r>
      <rPr>
        <b val="true"/>
        <sz val="13"/>
        <rFont val="Arial"/>
        <family val="0"/>
        <charset val="1"/>
      </rPr>
      <t xml:space="preserve">, </t>
    </r>
    <r>
      <rPr>
        <b val="true"/>
        <sz val="13"/>
        <rFont val="Noto Sans CJK SC"/>
        <family val="2"/>
      </rPr>
      <t xml:space="preserve">지시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도구만 바꿔 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회 실행</t>
    </r>
  </si>
  <si>
    <t xml:space="preserve">버전</t>
  </si>
  <si>
    <t xml:space="preserve">바꾼 것</t>
  </si>
  <si>
    <t xml:space="preserve">실 단위 평균오차</t>
  </si>
  <si>
    <r>
      <rPr>
        <b val="true"/>
        <sz val="11"/>
        <color rgb="FFFFFFFF"/>
        <rFont val="Arial"/>
        <family val="0"/>
        <charset val="1"/>
      </rPr>
      <t xml:space="preserve">±5% </t>
    </r>
    <r>
      <rPr>
        <b val="true"/>
        <sz val="11"/>
        <color rgb="FFFFFFFF"/>
        <rFont val="Noto Sans CJK SC"/>
        <family val="2"/>
      </rPr>
      <t xml:space="preserve">이내 실</t>
    </r>
  </si>
  <si>
    <t xml:space="preserve">근거 있는 면적 비율</t>
  </si>
  <si>
    <r>
      <rPr>
        <b val="true"/>
        <sz val="11"/>
        <color rgb="FFFFFFFF"/>
        <rFont val="Noto Sans CJK SC"/>
        <family val="2"/>
      </rPr>
      <t xml:space="preserve">합계 오차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도면 기준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</si>
  <si>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v1</t>
  </si>
  <si>
    <r>
      <rPr>
        <sz val="11"/>
        <rFont val="Noto Sans CJK SC"/>
        <family val="2"/>
      </rPr>
      <t xml:space="preserve">도면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장 주고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물량 산출해줘</t>
    </r>
    <r>
      <rPr>
        <sz val="11"/>
        <rFont val="Arial"/>
        <family val="0"/>
        <charset val="1"/>
      </rPr>
      <t xml:space="preserve">'</t>
    </r>
  </si>
  <si>
    <r>
      <rPr>
        <sz val="11"/>
        <rFont val="Noto Sans CJK SC"/>
        <family val="2"/>
      </rPr>
      <t xml:space="preserve">채점 불가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근거 없음</t>
    </r>
    <r>
      <rPr>
        <sz val="11"/>
        <rFont val="Arial"/>
        <family val="0"/>
        <charset val="1"/>
      </rPr>
      <t xml:space="preserve">)</t>
    </r>
  </si>
  <si>
    <t xml:space="preserve">0/19</t>
  </si>
  <si>
    <t xml:space="preserve">v2</t>
  </si>
  <si>
    <r>
      <rPr>
        <sz val="11"/>
        <rFont val="Noto Sans CJK SC"/>
        <family val="2"/>
      </rPr>
      <t xml:space="preserve">실별 표 형식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근거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신뢰도 기재 강제</t>
    </r>
  </si>
  <si>
    <t xml:space="preserve">6/19</t>
  </si>
  <si>
    <t xml:space="preserve">v3</t>
  </si>
  <si>
    <r>
      <rPr>
        <sz val="11"/>
        <rFont val="Noto Sans CJK SC"/>
        <family val="2"/>
      </rPr>
      <t xml:space="preserve">입력 추가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치수 도면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고해상도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분할 타일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적힌 숫자만 사용</t>
    </r>
  </si>
  <si>
    <t xml:space="preserve">4/19</t>
  </si>
  <si>
    <t xml:space="preserve">v4</t>
  </si>
  <si>
    <r>
      <rPr>
        <sz val="11"/>
        <rFont val="Noto Sans CJK SC"/>
        <family val="2"/>
      </rPr>
      <t xml:space="preserve">견적 실무 규칙 </t>
    </r>
    <r>
      <rPr>
        <sz val="11"/>
        <rFont val="Arial"/>
        <family val="0"/>
        <charset val="1"/>
      </rPr>
      <t xml:space="preserve">R1~R7 (</t>
    </r>
    <r>
      <rPr>
        <sz val="11"/>
        <rFont val="Noto Sans CJK SC"/>
        <family val="2"/>
      </rPr>
      <t xml:space="preserve">안목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기둥 공제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이중계산 금지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정미량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층별 검산</t>
    </r>
    <r>
      <rPr>
        <sz val="11"/>
        <rFont val="Arial"/>
        <family val="0"/>
        <charset val="1"/>
      </rPr>
      <t xml:space="preserve">)</t>
    </r>
  </si>
  <si>
    <t xml:space="preserve">8/19</t>
  </si>
  <si>
    <t xml:space="preserve">v5</t>
  </si>
  <si>
    <r>
      <rPr>
        <sz val="11"/>
        <rFont val="Noto Sans CJK SC"/>
        <family val="2"/>
      </rPr>
      <t xml:space="preserve">검토자 에이전트가 </t>
    </r>
    <r>
      <rPr>
        <sz val="11"/>
        <rFont val="Arial"/>
        <family val="0"/>
        <charset val="1"/>
      </rPr>
      <t xml:space="preserve">v4</t>
    </r>
    <r>
      <rPr>
        <sz val="11"/>
        <rFont val="Noto Sans CJK SC"/>
        <family val="2"/>
      </rPr>
      <t xml:space="preserve">를 도면과 대조해 수정</t>
    </r>
  </si>
  <si>
    <t xml:space="preserve">v6</t>
  </si>
  <si>
    <r>
      <rPr>
        <sz val="11"/>
        <rFont val="Noto Sans CJK SC"/>
        <family val="2"/>
      </rPr>
      <t xml:space="preserve">검증 데이터에서 찾은 오차 패턴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창측 띠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규칙 추가</t>
    </r>
  </si>
  <si>
    <t xml:space="preserve">13/19</t>
  </si>
  <si>
    <r>
      <rPr>
        <i val="true"/>
        <sz val="11"/>
        <color rgb="FF666666"/>
        <rFont val="Noto Sans CJK SC"/>
        <family val="2"/>
      </rPr>
      <t xml:space="preserve">주의</t>
    </r>
    <r>
      <rPr>
        <i val="true"/>
        <sz val="11"/>
        <color rgb="FF666666"/>
        <rFont val="Arial"/>
        <family val="0"/>
        <charset val="1"/>
      </rPr>
      <t xml:space="preserve">: v6 </t>
    </r>
    <r>
      <rPr>
        <i val="true"/>
        <sz val="11"/>
        <color rgb="FF666666"/>
        <rFont val="Noto Sans CJK SC"/>
        <family val="2"/>
      </rPr>
      <t xml:space="preserve">규칙은 검증 세트</t>
    </r>
    <r>
      <rPr>
        <i val="true"/>
        <sz val="11"/>
        <color rgb="FF666666"/>
        <rFont val="Arial"/>
        <family val="0"/>
        <charset val="1"/>
      </rPr>
      <t xml:space="preserve">(19</t>
    </r>
    <r>
      <rPr>
        <i val="true"/>
        <sz val="11"/>
        <color rgb="FF666666"/>
        <rFont val="Noto Sans CJK SC"/>
        <family val="2"/>
      </rPr>
      <t xml:space="preserve">실</t>
    </r>
    <r>
      <rPr>
        <i val="true"/>
        <sz val="11"/>
        <color rgb="FF666666"/>
        <rFont val="Arial"/>
        <family val="0"/>
        <charset val="1"/>
      </rPr>
      <t xml:space="preserve">)</t>
    </r>
    <r>
      <rPr>
        <i val="true"/>
        <sz val="11"/>
        <color rgb="FF666666"/>
        <rFont val="Noto Sans CJK SC"/>
        <family val="2"/>
      </rPr>
      <t xml:space="preserve">의 오차를 보고 찾았고 같은 세트로 평가했으므로 낙관적일 수 있음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공사 </t>
    </r>
    <r>
      <rPr>
        <i val="true"/>
        <sz val="11"/>
        <color rgb="FF666666"/>
        <rFont val="Arial"/>
        <family val="0"/>
        <charset val="1"/>
      </rPr>
      <t xml:space="preserve">1</t>
    </r>
    <r>
      <rPr>
        <i val="true"/>
        <sz val="11"/>
        <color rgb="FF666666"/>
        <rFont val="Noto Sans CJK SC"/>
        <family val="2"/>
      </rPr>
      <t xml:space="preserve">건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버전별 </t>
    </r>
    <r>
      <rPr>
        <i val="true"/>
        <sz val="11"/>
        <color rgb="FF666666"/>
        <rFont val="Arial"/>
        <family val="0"/>
        <charset val="1"/>
      </rPr>
      <t xml:space="preserve">1</t>
    </r>
    <r>
      <rPr>
        <i val="true"/>
        <sz val="11"/>
        <color rgb="FF666666"/>
        <rFont val="Noto Sans CJK SC"/>
        <family val="2"/>
      </rPr>
      <t xml:space="preserve">회 실행</t>
    </r>
    <r>
      <rPr>
        <i val="true"/>
        <sz val="11"/>
        <color rgb="FF666666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</si>
</sst>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%"/>
    <numFmt numFmtId="167" formatCode="0.000"/>
    <numFmt numFmtId="168" formatCode="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i val="true"/>
      <sz val="11"/>
      <color rgb="FF666666"/>
      <name val="Noto Sans CJK SC"/>
      <family val="2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Noto Sans CJK SC"/>
      <family val="2"/>
    </font>
    <font>
      <sz val="11"/>
      <color theme="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666666"/>
      <name val="Noto Sans CJK SC"/>
      <family val="2"/>
    </font>
    <font>
      <sz val="11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3A42"/>
        <bgColor rgb="FF333300"/>
      </patternFill>
    </fill>
    <fill>
      <patternFill patternType="solid">
        <fgColor rgb="FFEEF3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3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3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0.png"/><Relationship Id="rId12" Type="http://schemas.openxmlformats.org/officeDocument/2006/relationships/image" Target="../media/image11.png"/><Relationship Id="rId13" Type="http://schemas.openxmlformats.org/officeDocument/2006/relationships/image" Target="../media/image12.png"/><Relationship Id="rId14" Type="http://schemas.openxmlformats.org/officeDocument/2006/relationships/image" Target="../media/image13.png"/><Relationship Id="rId15" Type="http://schemas.openxmlformats.org/officeDocument/2006/relationships/image" Target="../media/image14.png"/><Relationship Id="rId16" Type="http://schemas.openxmlformats.org/officeDocument/2006/relationships/image" Target="../media/image15.png"/><Relationship Id="rId17" Type="http://schemas.openxmlformats.org/officeDocument/2006/relationships/image" Target="../media/image16.png"/><Relationship Id="rId18" Type="http://schemas.openxmlformats.org/officeDocument/2006/relationships/image" Target="../media/image17.png"/><Relationship Id="rId19" Type="http://schemas.openxmlformats.org/officeDocument/2006/relationships/image" Target="../media/image18.png"/><Relationship Id="rId20" Type="http://schemas.openxmlformats.org/officeDocument/2006/relationships/image" Target="../media/image19.png"/><Relationship Id="rId21" Type="http://schemas.openxmlformats.org/officeDocument/2006/relationships/image" Target="../media/image20.png"/><Relationship Id="rId22" Type="http://schemas.openxmlformats.org/officeDocument/2006/relationships/image" Target="../media/image21.png"/><Relationship Id="rId23" Type="http://schemas.openxmlformats.org/officeDocument/2006/relationships/image" Target="../media/image22.png"/><Relationship Id="rId24" Type="http://schemas.openxmlformats.org/officeDocument/2006/relationships/image" Target="../media/image22.png"/><Relationship Id="rId25" Type="http://schemas.openxmlformats.org/officeDocument/2006/relationships/image" Target="../media/image23.png"/><Relationship Id="rId26" Type="http://schemas.openxmlformats.org/officeDocument/2006/relationships/image" Target="../media/image24.png"/><Relationship Id="rId27" Type="http://schemas.openxmlformats.org/officeDocument/2006/relationships/image" Target="../media/image25.png"/><Relationship Id="rId28" Type="http://schemas.openxmlformats.org/officeDocument/2006/relationships/image" Target="../media/image26.png"/><Relationship Id="rId29" Type="http://schemas.openxmlformats.org/officeDocument/2006/relationships/image" Target="../media/image27.png"/><Relationship Id="rId30" Type="http://schemas.openxmlformats.org/officeDocument/2006/relationships/image" Target="../media/image28.png"/><Relationship Id="rId31" Type="http://schemas.openxmlformats.org/officeDocument/2006/relationships/image" Target="../media/image29.png"/><Relationship Id="rId32" Type="http://schemas.openxmlformats.org/officeDocument/2006/relationships/image" Target="../media/image30.png"/><Relationship Id="rId33" Type="http://schemas.openxmlformats.org/officeDocument/2006/relationships/image" Target="../media/image3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180000</xdr:rowOff>
    </xdr:from>
    <xdr:to>
      <xdr:col>0</xdr:col>
      <xdr:colOff>837720</xdr:colOff>
      <xdr:row>11</xdr:row>
      <xdr:rowOff>96120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90512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15840</xdr:rowOff>
    </xdr:from>
    <xdr:to>
      <xdr:col>0</xdr:col>
      <xdr:colOff>837720</xdr:colOff>
      <xdr:row>21</xdr:row>
      <xdr:rowOff>246600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437184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69840</xdr:rowOff>
    </xdr:from>
    <xdr:to>
      <xdr:col>0</xdr:col>
      <xdr:colOff>837720</xdr:colOff>
      <xdr:row>32</xdr:row>
      <xdr:rowOff>82800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683892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</xdr:row>
      <xdr:rowOff>123840</xdr:rowOff>
    </xdr:from>
    <xdr:to>
      <xdr:col>0</xdr:col>
      <xdr:colOff>837720</xdr:colOff>
      <xdr:row>42</xdr:row>
      <xdr:rowOff>136800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930600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</xdr:row>
      <xdr:rowOff>177840</xdr:rowOff>
    </xdr:from>
    <xdr:to>
      <xdr:col>0</xdr:col>
      <xdr:colOff>837720</xdr:colOff>
      <xdr:row>52</xdr:row>
      <xdr:rowOff>190800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1177308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</xdr:row>
      <xdr:rowOff>14040</xdr:rowOff>
    </xdr:from>
    <xdr:to>
      <xdr:col>0</xdr:col>
      <xdr:colOff>837720</xdr:colOff>
      <xdr:row>63</xdr:row>
      <xdr:rowOff>27000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1423980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</xdr:row>
      <xdr:rowOff>68040</xdr:rowOff>
    </xdr:from>
    <xdr:to>
      <xdr:col>0</xdr:col>
      <xdr:colOff>837720</xdr:colOff>
      <xdr:row>73</xdr:row>
      <xdr:rowOff>81000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1670688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</xdr:row>
      <xdr:rowOff>94680</xdr:rowOff>
    </xdr:from>
    <xdr:to>
      <xdr:col>0</xdr:col>
      <xdr:colOff>837720</xdr:colOff>
      <xdr:row>83</xdr:row>
      <xdr:rowOff>135000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1917396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</xdr:row>
      <xdr:rowOff>121320</xdr:rowOff>
    </xdr:from>
    <xdr:to>
      <xdr:col>0</xdr:col>
      <xdr:colOff>837720</xdr:colOff>
      <xdr:row>93</xdr:row>
      <xdr:rowOff>188640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2164068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271800</xdr:rowOff>
    </xdr:from>
    <xdr:to>
      <xdr:col>0</xdr:col>
      <xdr:colOff>837720</xdr:colOff>
      <xdr:row>104</xdr:row>
      <xdr:rowOff>24840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2410776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111</xdr:row>
      <xdr:rowOff>108000</xdr:rowOff>
    </xdr:from>
    <xdr:to>
      <xdr:col>0</xdr:col>
      <xdr:colOff>837720</xdr:colOff>
      <xdr:row>114</xdr:row>
      <xdr:rowOff>79200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2657484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</xdr:row>
      <xdr:rowOff>258120</xdr:rowOff>
    </xdr:from>
    <xdr:to>
      <xdr:col>0</xdr:col>
      <xdr:colOff>837720</xdr:colOff>
      <xdr:row>124</xdr:row>
      <xdr:rowOff>105480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0" y="2904156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94680</xdr:rowOff>
    </xdr:from>
    <xdr:to>
      <xdr:col>0</xdr:col>
      <xdr:colOff>837720</xdr:colOff>
      <xdr:row>134</xdr:row>
      <xdr:rowOff>132120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3150864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142</xdr:row>
      <xdr:rowOff>245160</xdr:rowOff>
    </xdr:from>
    <xdr:to>
      <xdr:col>0</xdr:col>
      <xdr:colOff>837720</xdr:colOff>
      <xdr:row>144</xdr:row>
      <xdr:rowOff>282960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0" y="3397572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153</xdr:row>
      <xdr:rowOff>81360</xdr:rowOff>
    </xdr:from>
    <xdr:to>
      <xdr:col>0</xdr:col>
      <xdr:colOff>837720</xdr:colOff>
      <xdr:row>155</xdr:row>
      <xdr:rowOff>119160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0" y="3644280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163</xdr:row>
      <xdr:rowOff>135000</xdr:rowOff>
    </xdr:from>
    <xdr:to>
      <xdr:col>0</xdr:col>
      <xdr:colOff>837720</xdr:colOff>
      <xdr:row>165</xdr:row>
      <xdr:rowOff>269280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0" y="3890952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184</xdr:row>
      <xdr:rowOff>25560</xdr:rowOff>
    </xdr:from>
    <xdr:to>
      <xdr:col>0</xdr:col>
      <xdr:colOff>837720</xdr:colOff>
      <xdr:row>186</xdr:row>
      <xdr:rowOff>256320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0" y="4384368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194</xdr:row>
      <xdr:rowOff>79200</xdr:rowOff>
    </xdr:from>
    <xdr:to>
      <xdr:col>0</xdr:col>
      <xdr:colOff>837720</xdr:colOff>
      <xdr:row>197</xdr:row>
      <xdr:rowOff>92160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0" y="4631040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204</xdr:row>
      <xdr:rowOff>133200</xdr:rowOff>
    </xdr:from>
    <xdr:to>
      <xdr:col>0</xdr:col>
      <xdr:colOff>837720</xdr:colOff>
      <xdr:row>207</xdr:row>
      <xdr:rowOff>146160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0" y="4877748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214</xdr:row>
      <xdr:rowOff>187560</xdr:rowOff>
    </xdr:from>
    <xdr:to>
      <xdr:col>0</xdr:col>
      <xdr:colOff>837720</xdr:colOff>
      <xdr:row>217</xdr:row>
      <xdr:rowOff>200160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0" y="5124456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225</xdr:row>
      <xdr:rowOff>23760</xdr:rowOff>
    </xdr:from>
    <xdr:to>
      <xdr:col>0</xdr:col>
      <xdr:colOff>837720</xdr:colOff>
      <xdr:row>228</xdr:row>
      <xdr:rowOff>36720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0" y="5371164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235</xdr:row>
      <xdr:rowOff>77400</xdr:rowOff>
    </xdr:from>
    <xdr:to>
      <xdr:col>0</xdr:col>
      <xdr:colOff>837720</xdr:colOff>
      <xdr:row>238</xdr:row>
      <xdr:rowOff>90360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0" y="5617836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245</xdr:row>
      <xdr:rowOff>104040</xdr:rowOff>
    </xdr:from>
    <xdr:to>
      <xdr:col>0</xdr:col>
      <xdr:colOff>837720</xdr:colOff>
      <xdr:row>248</xdr:row>
      <xdr:rowOff>144360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0" y="5864544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255</xdr:row>
      <xdr:rowOff>131040</xdr:rowOff>
    </xdr:from>
    <xdr:to>
      <xdr:col>0</xdr:col>
      <xdr:colOff>837720</xdr:colOff>
      <xdr:row>258</xdr:row>
      <xdr:rowOff>198360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0" y="6111252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265</xdr:row>
      <xdr:rowOff>281160</xdr:rowOff>
    </xdr:from>
    <xdr:to>
      <xdr:col>0</xdr:col>
      <xdr:colOff>837720</xdr:colOff>
      <xdr:row>269</xdr:row>
      <xdr:rowOff>34560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0" y="6357924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276</xdr:row>
      <xdr:rowOff>117360</xdr:rowOff>
    </xdr:from>
    <xdr:to>
      <xdr:col>0</xdr:col>
      <xdr:colOff>837720</xdr:colOff>
      <xdr:row>279</xdr:row>
      <xdr:rowOff>88560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0" y="6604632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286</xdr:row>
      <xdr:rowOff>268200</xdr:rowOff>
    </xdr:from>
    <xdr:to>
      <xdr:col>0</xdr:col>
      <xdr:colOff>837720</xdr:colOff>
      <xdr:row>289</xdr:row>
      <xdr:rowOff>115200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0" y="6851340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297</xdr:row>
      <xdr:rowOff>104400</xdr:rowOff>
    </xdr:from>
    <xdr:to>
      <xdr:col>0</xdr:col>
      <xdr:colOff>837720</xdr:colOff>
      <xdr:row>299</xdr:row>
      <xdr:rowOff>142200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0" y="7098048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307</xdr:row>
      <xdr:rowOff>254520</xdr:rowOff>
    </xdr:from>
    <xdr:to>
      <xdr:col>0</xdr:col>
      <xdr:colOff>837720</xdr:colOff>
      <xdr:row>309</xdr:row>
      <xdr:rowOff>292320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0" y="7344720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318</xdr:row>
      <xdr:rowOff>90720</xdr:rowOff>
    </xdr:from>
    <xdr:to>
      <xdr:col>0</xdr:col>
      <xdr:colOff>837720</xdr:colOff>
      <xdr:row>320</xdr:row>
      <xdr:rowOff>128520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0" y="7591428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328</xdr:row>
      <xdr:rowOff>145080</xdr:rowOff>
    </xdr:from>
    <xdr:to>
      <xdr:col>0</xdr:col>
      <xdr:colOff>837720</xdr:colOff>
      <xdr:row>330</xdr:row>
      <xdr:rowOff>279000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0" y="7838136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338</xdr:row>
      <xdr:rowOff>198720</xdr:rowOff>
    </xdr:from>
    <xdr:to>
      <xdr:col>0</xdr:col>
      <xdr:colOff>837720</xdr:colOff>
      <xdr:row>341</xdr:row>
      <xdr:rowOff>115200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0" y="80848080"/>
          <a:ext cx="83772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349</xdr:row>
      <xdr:rowOff>34920</xdr:rowOff>
    </xdr:from>
    <xdr:to>
      <xdr:col>0</xdr:col>
      <xdr:colOff>837720</xdr:colOff>
      <xdr:row>351</xdr:row>
      <xdr:rowOff>265680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0" y="83315160"/>
          <a:ext cx="83772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50"/>
  </cols>
  <sheetData>
    <row r="1" customFormat="false" ht="20.1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3" t="s">
        <v>6</v>
      </c>
      <c r="F4" s="3" t="s">
        <v>7</v>
      </c>
      <c r="G4" s="4" t="s">
        <v>8</v>
      </c>
      <c r="H4" s="4" t="s">
        <v>9</v>
      </c>
      <c r="I4" s="3" t="s">
        <v>10</v>
      </c>
    </row>
    <row r="5" customFormat="false" ht="30" hidden="false" customHeight="true" outlineLevel="0" collapsed="false">
      <c r="A5" s="5" t="s">
        <v>11</v>
      </c>
      <c r="B5" s="6" t="s">
        <v>12</v>
      </c>
      <c r="C5" s="7" t="s">
        <v>13</v>
      </c>
      <c r="D5" s="8" t="n">
        <f aca="false">SUMIFS(산출근거서!$G$5:$G$40,산출근거서!$D$5:$D$40,"DE-01")</f>
        <v>71.01</v>
      </c>
      <c r="E5" s="9" t="n">
        <v>66.08</v>
      </c>
      <c r="F5" s="10" t="n">
        <v>59</v>
      </c>
      <c r="G5" s="11" t="n">
        <f aca="false">(D5-E5)/E5</f>
        <v>0.0746065375302664</v>
      </c>
      <c r="H5" s="8" t="n">
        <f aca="false">D5-F5</f>
        <v>12.01</v>
      </c>
      <c r="I5" s="6" t="s">
        <v>14</v>
      </c>
    </row>
    <row r="6" customFormat="false" ht="30" hidden="false" customHeight="true" outlineLevel="0" collapsed="false">
      <c r="A6" s="5" t="s">
        <v>15</v>
      </c>
      <c r="B6" s="6" t="s">
        <v>16</v>
      </c>
      <c r="C6" s="7" t="s">
        <v>13</v>
      </c>
      <c r="D6" s="8" t="n">
        <f aca="false">SUMIFS(산출근거서!$G$5:$G$40,산출근거서!$D$5:$D$40,"DT-01")</f>
        <v>48.87</v>
      </c>
      <c r="E6" s="9" t="n">
        <v>43.11</v>
      </c>
      <c r="F6" s="10" t="n">
        <v>88</v>
      </c>
      <c r="G6" s="11" t="n">
        <f aca="false">(D6-E6)/E6</f>
        <v>0.133611691022964</v>
      </c>
      <c r="H6" s="8" t="n">
        <f aca="false">D6-F6</f>
        <v>-39.13</v>
      </c>
      <c r="I6" s="6" t="s">
        <v>17</v>
      </c>
    </row>
    <row r="7" customFormat="false" ht="30" hidden="false" customHeight="true" outlineLevel="0" collapsed="false">
      <c r="A7" s="5" t="s">
        <v>18</v>
      </c>
      <c r="B7" s="6" t="s">
        <v>19</v>
      </c>
      <c r="C7" s="7" t="s">
        <v>13</v>
      </c>
      <c r="D7" s="8" t="n">
        <f aca="false">SUMIFS(산출근거서!$G$5:$G$40,산출근거서!$D$5:$D$40,"DT-02")</f>
        <v>237.93</v>
      </c>
      <c r="E7" s="9" t="n">
        <v>246.72</v>
      </c>
      <c r="F7" s="10" t="n">
        <v>283</v>
      </c>
      <c r="G7" s="11" t="n">
        <f aca="false">(D7-E7)/E7</f>
        <v>-0.0356274319066148</v>
      </c>
      <c r="H7" s="8" t="n">
        <f aca="false">D7-F7</f>
        <v>-45.07</v>
      </c>
      <c r="I7" s="6"/>
    </row>
    <row r="8" customFormat="false" ht="30" hidden="false" customHeight="true" outlineLevel="0" collapsed="false">
      <c r="A8" s="5" t="s">
        <v>20</v>
      </c>
      <c r="B8" s="6" t="s">
        <v>19</v>
      </c>
      <c r="C8" s="7" t="s">
        <v>13</v>
      </c>
      <c r="D8" s="8" t="n">
        <f aca="false">SUMIFS(산출근거서!$G$5:$G$40,산출근거서!$D$5:$D$40,"DT-03")</f>
        <v>434.53</v>
      </c>
      <c r="E8" s="9" t="n">
        <v>469.75</v>
      </c>
      <c r="F8" s="10" t="n">
        <v>492</v>
      </c>
      <c r="G8" s="11" t="n">
        <f aca="false">(D8-E8)/E8</f>
        <v>-0.0749760510910058</v>
      </c>
      <c r="H8" s="8" t="n">
        <f aca="false">D8-F8</f>
        <v>-57.47</v>
      </c>
      <c r="I8" s="6"/>
    </row>
    <row r="9" customFormat="false" ht="30" hidden="false" customHeight="true" outlineLevel="0" collapsed="false">
      <c r="A9" s="5" t="s">
        <v>21</v>
      </c>
      <c r="B9" s="6" t="s">
        <v>22</v>
      </c>
      <c r="C9" s="7" t="s">
        <v>13</v>
      </c>
      <c r="D9" s="8" t="n">
        <f aca="false">SUMIFS(산출근거서!$G$5:$G$40,산출근거서!$D$5:$D$40,"CT-01")</f>
        <v>189.54</v>
      </c>
      <c r="E9" s="9" t="n">
        <v>199.91</v>
      </c>
      <c r="F9" s="10" t="n">
        <v>101</v>
      </c>
      <c r="G9" s="11" t="n">
        <f aca="false">(D9-E9)/E9</f>
        <v>-0.051873343004352</v>
      </c>
      <c r="H9" s="8" t="n">
        <f aca="false">D9-F9</f>
        <v>88.54</v>
      </c>
      <c r="I9" s="12" t="s">
        <v>23</v>
      </c>
    </row>
    <row r="10" customFormat="false" ht="30" hidden="false" customHeight="true" outlineLevel="0" collapsed="false">
      <c r="A10" s="5" t="s">
        <v>24</v>
      </c>
      <c r="B10" s="6" t="s">
        <v>22</v>
      </c>
      <c r="C10" s="7" t="s">
        <v>13</v>
      </c>
      <c r="D10" s="8" t="n">
        <f aca="false">SUMIFS(산출근거서!$G$5:$G$40,산출근거서!$D$5:$D$40,"CT-02")</f>
        <v>96.5</v>
      </c>
      <c r="E10" s="9" t="n">
        <v>97.28</v>
      </c>
      <c r="F10" s="10" t="n">
        <v>79</v>
      </c>
      <c r="G10" s="11" t="n">
        <f aca="false">(D10-E10)/E10</f>
        <v>-0.00801809210526317</v>
      </c>
      <c r="H10" s="8" t="n">
        <f aca="false">D10-F10</f>
        <v>17.5</v>
      </c>
      <c r="I10" s="6"/>
    </row>
    <row r="11" customFormat="false" ht="30" hidden="false" customHeight="true" outlineLevel="0" collapsed="false">
      <c r="A11" s="5" t="s">
        <v>25</v>
      </c>
      <c r="B11" s="6" t="s">
        <v>22</v>
      </c>
      <c r="C11" s="7" t="s">
        <v>13</v>
      </c>
      <c r="D11" s="8" t="n">
        <f aca="false">SUMIFS(산출근거서!$G$5:$G$40,산출근거서!$D$5:$D$40,"CT-03")</f>
        <v>78.03</v>
      </c>
      <c r="E11" s="9" t="n">
        <v>74.73</v>
      </c>
      <c r="F11" s="10" t="n">
        <v>111</v>
      </c>
      <c r="G11" s="11" t="n">
        <f aca="false">(D11-E11)/E11</f>
        <v>0.044158972300281</v>
      </c>
      <c r="H11" s="8" t="n">
        <f aca="false">D11-F11</f>
        <v>-32.97</v>
      </c>
      <c r="I11" s="6"/>
    </row>
    <row r="12" customFormat="false" ht="30" hidden="false" customHeight="true" outlineLevel="0" collapsed="false">
      <c r="A12" s="5" t="s">
        <v>26</v>
      </c>
      <c r="B12" s="6" t="s">
        <v>27</v>
      </c>
      <c r="C12" s="7" t="s">
        <v>13</v>
      </c>
      <c r="D12" s="8" t="n">
        <v>0</v>
      </c>
      <c r="E12" s="9" t="n">
        <v>0</v>
      </c>
      <c r="F12" s="10" t="n">
        <v>88</v>
      </c>
      <c r="G12" s="11"/>
      <c r="H12" s="8" t="n">
        <f aca="false">D12-F12</f>
        <v>-88</v>
      </c>
      <c r="I12" s="6" t="s">
        <v>28</v>
      </c>
    </row>
    <row r="13" customFormat="false" ht="30" hidden="false" customHeight="true" outlineLevel="0" collapsed="false">
      <c r="A13" s="5" t="s">
        <v>29</v>
      </c>
      <c r="B13" s="6" t="s">
        <v>27</v>
      </c>
      <c r="C13" s="7" t="s">
        <v>13</v>
      </c>
      <c r="D13" s="8" t="n">
        <v>0</v>
      </c>
      <c r="E13" s="9" t="n">
        <v>0</v>
      </c>
      <c r="F13" s="10" t="n">
        <v>22</v>
      </c>
      <c r="G13" s="11"/>
      <c r="H13" s="8" t="n">
        <f aca="false">D13-F13</f>
        <v>-22</v>
      </c>
      <c r="I13" s="6" t="s">
        <v>28</v>
      </c>
    </row>
    <row r="14" customFormat="false" ht="30" hidden="false" customHeight="true" outlineLevel="0" collapsed="false">
      <c r="A14" s="13" t="s">
        <v>30</v>
      </c>
      <c r="B14" s="6"/>
      <c r="C14" s="5"/>
      <c r="D14" s="14" t="n">
        <f aca="false">SUM(D5:D13)</f>
        <v>1156.41</v>
      </c>
      <c r="E14" s="14" t="n">
        <f aca="false">SUM(E5:E13)</f>
        <v>1197.58</v>
      </c>
      <c r="F14" s="14" t="n">
        <f aca="false">SUM(F5:F13)</f>
        <v>1323</v>
      </c>
      <c r="G14" s="11" t="n">
        <f aca="false">(D14-E14)/E14</f>
        <v>-0.0343776616175954</v>
      </c>
      <c r="H14" s="8" t="n">
        <f aca="false">D14-F14</f>
        <v>-166.59</v>
      </c>
      <c r="I14" s="6" t="s">
        <v>31</v>
      </c>
    </row>
    <row r="15" customFormat="false" ht="30" hidden="false" customHeight="true" outlineLevel="0" collapsed="false">
      <c r="A15" s="5" t="s">
        <v>32</v>
      </c>
      <c r="B15" s="12" t="s">
        <v>33</v>
      </c>
      <c r="C15" s="7" t="s">
        <v>34</v>
      </c>
      <c r="D15" s="8" t="n">
        <f aca="false">SUM(산출근거서!$H$5:$H$40)</f>
        <v>459.98</v>
      </c>
      <c r="E15" s="8"/>
      <c r="F15" s="10" t="n">
        <v>765</v>
      </c>
      <c r="G15" s="11"/>
      <c r="H15" s="8" t="n">
        <f aca="false">D15-F15</f>
        <v>-305.02</v>
      </c>
      <c r="I15" s="6" t="s">
        <v>35</v>
      </c>
    </row>
    <row r="17" customFormat="false" ht="17.15" hidden="false" customHeight="false" outlineLevel="0" collapsed="false">
      <c r="A17" s="15" t="s">
        <v>36</v>
      </c>
    </row>
    <row r="18" customFormat="false" ht="17.15" hidden="false" customHeight="false" outlineLevel="0" collapsed="false">
      <c r="A18" s="16" t="s">
        <v>37</v>
      </c>
      <c r="B18" s="16"/>
      <c r="C18" s="16" t="s">
        <v>4</v>
      </c>
      <c r="D18" s="17" t="s">
        <v>38</v>
      </c>
      <c r="E18" s="16" t="s">
        <v>6</v>
      </c>
      <c r="F18" s="16" t="s">
        <v>39</v>
      </c>
      <c r="G18" s="17" t="s">
        <v>8</v>
      </c>
      <c r="H18" s="16" t="s">
        <v>40</v>
      </c>
      <c r="I18" s="16" t="s">
        <v>41</v>
      </c>
    </row>
    <row r="19" customFormat="false" ht="30" hidden="false" customHeight="true" outlineLevel="0" collapsed="false">
      <c r="A19" s="18" t="s">
        <v>42</v>
      </c>
      <c r="B19" s="18"/>
      <c r="C19" s="18" t="s">
        <v>13</v>
      </c>
      <c r="D19" s="19" t="n">
        <f aca="false">D5</f>
        <v>71.01</v>
      </c>
      <c r="E19" s="19" t="n">
        <f aca="false">E5</f>
        <v>66.08</v>
      </c>
      <c r="F19" s="19" t="n">
        <f aca="false">F5</f>
        <v>59</v>
      </c>
      <c r="G19" s="20" t="n">
        <f aca="false">(D19-E19)/E19</f>
        <v>0.0746065375302664</v>
      </c>
      <c r="H19" s="19" t="n">
        <f aca="false">F19-E19</f>
        <v>-7.08</v>
      </c>
      <c r="I19" s="21" t="s">
        <v>43</v>
      </c>
    </row>
    <row r="20" customFormat="false" ht="30" hidden="false" customHeight="true" outlineLevel="0" collapsed="false">
      <c r="A20" s="18" t="s">
        <v>44</v>
      </c>
      <c r="B20" s="18"/>
      <c r="C20" s="18" t="s">
        <v>13</v>
      </c>
      <c r="D20" s="19" t="n">
        <f aca="false">D6+D7+D8</f>
        <v>721.33</v>
      </c>
      <c r="E20" s="19" t="n">
        <f aca="false">E6+E7+E8</f>
        <v>759.58</v>
      </c>
      <c r="F20" s="19" t="n">
        <f aca="false">F6+F7+F8</f>
        <v>863</v>
      </c>
      <c r="G20" s="20" t="n">
        <f aca="false">(D20-E20)/E20</f>
        <v>-0.050356776113115</v>
      </c>
      <c r="H20" s="19" t="n">
        <f aca="false">F20-E20</f>
        <v>103.42</v>
      </c>
      <c r="I20" s="21" t="s">
        <v>45</v>
      </c>
    </row>
    <row r="21" customFormat="false" ht="30" hidden="false" customHeight="true" outlineLevel="0" collapsed="false">
      <c r="A21" s="18" t="s">
        <v>46</v>
      </c>
      <c r="B21" s="18"/>
      <c r="C21" s="18" t="s">
        <v>13</v>
      </c>
      <c r="D21" s="19" t="n">
        <f aca="false">D9+D10+D11+D12+D13</f>
        <v>364.07</v>
      </c>
      <c r="E21" s="19" t="n">
        <f aca="false">E9+E10+E11+E12+E13</f>
        <v>371.92</v>
      </c>
      <c r="F21" s="19" t="n">
        <f aca="false">F9+F10+F11+F12+F13</f>
        <v>401</v>
      </c>
      <c r="G21" s="20" t="n">
        <f aca="false">(D21-E21)/E21</f>
        <v>-0.0211066896106692</v>
      </c>
      <c r="H21" s="19" t="n">
        <f aca="false">F21-E21</f>
        <v>29.08</v>
      </c>
      <c r="I21" s="2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5" min="5" style="0" width="7"/>
    <col collapsed="false" customWidth="true" hidden="false" outlineLevel="0" max="6" min="6" style="0" width="62"/>
    <col collapsed="false" customWidth="true" hidden="false" outlineLevel="0" max="7" min="7" style="0" width="12"/>
  </cols>
  <sheetData>
    <row r="1" customFormat="false" ht="20.1" hidden="false" customHeight="false" outlineLevel="0" collapsed="false">
      <c r="A1" s="1" t="s">
        <v>48</v>
      </c>
    </row>
    <row r="2" customFormat="false" ht="17.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22" t="s">
        <v>50</v>
      </c>
      <c r="B4" s="22" t="s">
        <v>51</v>
      </c>
      <c r="C4" s="22" t="s">
        <v>2</v>
      </c>
      <c r="D4" s="22" t="s">
        <v>3</v>
      </c>
      <c r="E4" s="22" t="s">
        <v>4</v>
      </c>
      <c r="F4" s="22" t="s">
        <v>52</v>
      </c>
      <c r="G4" s="22" t="s">
        <v>53</v>
      </c>
    </row>
    <row r="5" customFormat="false" ht="17.15" hidden="false" customHeight="false" outlineLevel="0" collapsed="false">
      <c r="A5" s="15" t="s">
        <v>54</v>
      </c>
      <c r="C5" s="15" t="s">
        <v>55</v>
      </c>
      <c r="F5" s="23" t="s">
        <v>56</v>
      </c>
    </row>
    <row r="6" customFormat="false" ht="17.15" hidden="false" customHeight="false" outlineLevel="0" collapsed="false">
      <c r="A6" s="24" t="s">
        <v>57</v>
      </c>
      <c r="B6" s="24" t="s">
        <v>58</v>
      </c>
      <c r="C6" s="24"/>
      <c r="D6" s="24"/>
      <c r="E6" s="24"/>
      <c r="F6" s="24" t="s">
        <v>59</v>
      </c>
      <c r="G6" s="25" t="n">
        <v>124.05</v>
      </c>
    </row>
    <row r="7" customFormat="false" ht="17.15" hidden="false" customHeight="false" outlineLevel="0" collapsed="false">
      <c r="A7" s="24" t="s">
        <v>60</v>
      </c>
      <c r="B7" s="24" t="s">
        <v>61</v>
      </c>
      <c r="C7" s="24"/>
      <c r="D7" s="24"/>
      <c r="E7" s="24"/>
      <c r="F7" s="21" t="s">
        <v>62</v>
      </c>
      <c r="G7" s="26"/>
    </row>
    <row r="8" customFormat="false" ht="17.15" hidden="false" customHeight="false" outlineLevel="0" collapsed="false">
      <c r="A8" s="24" t="s">
        <v>63</v>
      </c>
      <c r="B8" s="24" t="s">
        <v>64</v>
      </c>
      <c r="C8" s="24"/>
      <c r="D8" s="24"/>
      <c r="E8" s="24"/>
      <c r="F8" s="21" t="s">
        <v>65</v>
      </c>
      <c r="G8" s="25" t="n">
        <v>38.14</v>
      </c>
    </row>
    <row r="9" customFormat="false" ht="17.15" hidden="false" customHeight="false" outlineLevel="0" collapsed="false">
      <c r="A9" s="24" t="s">
        <v>66</v>
      </c>
      <c r="B9" s="24" t="s">
        <v>67</v>
      </c>
      <c r="C9" s="24"/>
      <c r="D9" s="24"/>
      <c r="E9" s="24"/>
      <c r="F9" s="21" t="s">
        <v>68</v>
      </c>
      <c r="G9" s="24"/>
    </row>
    <row r="10" customFormat="false" ht="17.15" hidden="false" customHeight="false" outlineLevel="0" collapsed="false">
      <c r="A10" s="27"/>
      <c r="B10" s="27" t="s">
        <v>69</v>
      </c>
      <c r="C10" s="27"/>
      <c r="D10" s="27"/>
      <c r="E10" s="27"/>
      <c r="F10" s="27"/>
      <c r="G10" s="27"/>
    </row>
    <row r="11" customFormat="false" ht="24.75" hidden="false" customHeight="true" outlineLevel="0" collapsed="false">
      <c r="A11" s="24"/>
      <c r="B11" s="21" t="s">
        <v>70</v>
      </c>
      <c r="C11" s="21" t="s">
        <v>71</v>
      </c>
      <c r="D11" s="21" t="s">
        <v>72</v>
      </c>
      <c r="E11" s="24" t="s">
        <v>13</v>
      </c>
      <c r="F11" s="24" t="s">
        <v>73</v>
      </c>
      <c r="G11" s="24" t="n">
        <f aca="false">G6-0</f>
        <v>124.05</v>
      </c>
    </row>
    <row r="12" customFormat="false" ht="24.75" hidden="false" customHeight="true" outlineLevel="0" collapsed="false">
      <c r="A12" s="24"/>
      <c r="B12" s="21" t="s">
        <v>74</v>
      </c>
      <c r="C12" s="21" t="s">
        <v>75</v>
      </c>
      <c r="D12" s="24" t="s">
        <v>76</v>
      </c>
      <c r="E12" s="24" t="s">
        <v>34</v>
      </c>
      <c r="F12" s="24" t="s">
        <v>77</v>
      </c>
      <c r="G12" s="24" t="n">
        <f aca="false">G8</f>
        <v>38.14</v>
      </c>
    </row>
    <row r="13" customFormat="false" ht="24.75" hidden="false" customHeight="true" outlineLevel="0" collapsed="false">
      <c r="A13" s="27"/>
      <c r="B13" s="27" t="s">
        <v>78</v>
      </c>
      <c r="C13" s="27"/>
      <c r="D13" s="27"/>
      <c r="E13" s="27"/>
      <c r="F13" s="27"/>
      <c r="G13" s="27"/>
    </row>
    <row r="15" customFormat="false" ht="15" hidden="false" customHeight="false" outlineLevel="0" collapsed="false">
      <c r="A15" s="22" t="s">
        <v>50</v>
      </c>
      <c r="B15" s="22" t="s">
        <v>51</v>
      </c>
      <c r="C15" s="22" t="s">
        <v>2</v>
      </c>
      <c r="D15" s="22" t="s">
        <v>3</v>
      </c>
      <c r="E15" s="22" t="s">
        <v>4</v>
      </c>
      <c r="F15" s="22" t="s">
        <v>52</v>
      </c>
      <c r="G15" s="22" t="s">
        <v>53</v>
      </c>
    </row>
    <row r="16" customFormat="false" ht="17.15" hidden="false" customHeight="false" outlineLevel="0" collapsed="false">
      <c r="A16" s="15" t="s">
        <v>79</v>
      </c>
      <c r="C16" s="15" t="s">
        <v>55</v>
      </c>
      <c r="F16" s="23" t="s">
        <v>80</v>
      </c>
    </row>
    <row r="17" customFormat="false" ht="17.15" hidden="false" customHeight="false" outlineLevel="0" collapsed="false">
      <c r="A17" s="24" t="s">
        <v>57</v>
      </c>
      <c r="B17" s="24" t="s">
        <v>58</v>
      </c>
      <c r="C17" s="24"/>
      <c r="D17" s="24"/>
      <c r="E17" s="24"/>
      <c r="F17" s="24" t="s">
        <v>81</v>
      </c>
      <c r="G17" s="25" t="n">
        <v>35.43</v>
      </c>
    </row>
    <row r="18" customFormat="false" ht="17.15" hidden="false" customHeight="false" outlineLevel="0" collapsed="false">
      <c r="A18" s="24" t="s">
        <v>60</v>
      </c>
      <c r="B18" s="24" t="s">
        <v>61</v>
      </c>
      <c r="C18" s="24"/>
      <c r="D18" s="24"/>
      <c r="E18" s="24"/>
      <c r="F18" s="21" t="s">
        <v>62</v>
      </c>
      <c r="G18" s="26"/>
    </row>
    <row r="19" customFormat="false" ht="17.15" hidden="false" customHeight="false" outlineLevel="0" collapsed="false">
      <c r="A19" s="24" t="s">
        <v>63</v>
      </c>
      <c r="B19" s="24" t="s">
        <v>64</v>
      </c>
      <c r="C19" s="24"/>
      <c r="D19" s="24"/>
      <c r="E19" s="24"/>
      <c r="F19" s="21" t="s">
        <v>82</v>
      </c>
      <c r="G19" s="25" t="n">
        <v>25.5</v>
      </c>
    </row>
    <row r="20" customFormat="false" ht="17.15" hidden="false" customHeight="false" outlineLevel="0" collapsed="false">
      <c r="A20" s="24" t="s">
        <v>66</v>
      </c>
      <c r="B20" s="24" t="s">
        <v>67</v>
      </c>
      <c r="C20" s="24"/>
      <c r="D20" s="24"/>
      <c r="E20" s="24"/>
      <c r="F20" s="21" t="s">
        <v>68</v>
      </c>
      <c r="G20" s="24"/>
    </row>
    <row r="21" customFormat="false" ht="17.15" hidden="false" customHeight="false" outlineLevel="0" collapsed="false">
      <c r="A21" s="27"/>
      <c r="B21" s="27" t="s">
        <v>69</v>
      </c>
      <c r="C21" s="27"/>
      <c r="D21" s="27"/>
      <c r="E21" s="27"/>
      <c r="F21" s="27"/>
      <c r="G21" s="27"/>
    </row>
    <row r="22" customFormat="false" ht="24.75" hidden="false" customHeight="true" outlineLevel="0" collapsed="false">
      <c r="A22" s="24"/>
      <c r="B22" s="21" t="s">
        <v>70</v>
      </c>
      <c r="C22" s="21" t="s">
        <v>83</v>
      </c>
      <c r="D22" s="21" t="s">
        <v>84</v>
      </c>
      <c r="E22" s="24" t="s">
        <v>13</v>
      </c>
      <c r="F22" s="24" t="s">
        <v>73</v>
      </c>
      <c r="G22" s="24" t="n">
        <f aca="false">G17-0</f>
        <v>35.43</v>
      </c>
    </row>
    <row r="23" customFormat="false" ht="24.75" hidden="false" customHeight="true" outlineLevel="0" collapsed="false">
      <c r="A23" s="24"/>
      <c r="B23" s="21" t="s">
        <v>74</v>
      </c>
      <c r="C23" s="21" t="s">
        <v>75</v>
      </c>
      <c r="D23" s="24" t="s">
        <v>76</v>
      </c>
      <c r="E23" s="24" t="s">
        <v>34</v>
      </c>
      <c r="F23" s="24" t="s">
        <v>77</v>
      </c>
      <c r="G23" s="24" t="n">
        <f aca="false">G19</f>
        <v>25.5</v>
      </c>
    </row>
    <row r="24" customFormat="false" ht="24.75" hidden="false" customHeight="true" outlineLevel="0" collapsed="false">
      <c r="A24" s="27"/>
      <c r="B24" s="27" t="s">
        <v>78</v>
      </c>
      <c r="C24" s="27"/>
      <c r="D24" s="27"/>
      <c r="E24" s="27"/>
      <c r="F24" s="27"/>
      <c r="G24" s="27"/>
    </row>
    <row r="26" customFormat="false" ht="15" hidden="false" customHeight="false" outlineLevel="0" collapsed="false">
      <c r="A26" s="22" t="s">
        <v>50</v>
      </c>
      <c r="B26" s="22" t="s">
        <v>51</v>
      </c>
      <c r="C26" s="22" t="s">
        <v>2</v>
      </c>
      <c r="D26" s="22" t="s">
        <v>3</v>
      </c>
      <c r="E26" s="22" t="s">
        <v>4</v>
      </c>
      <c r="F26" s="22" t="s">
        <v>52</v>
      </c>
      <c r="G26" s="22" t="s">
        <v>53</v>
      </c>
    </row>
    <row r="27" customFormat="false" ht="17.15" hidden="false" customHeight="false" outlineLevel="0" collapsed="false">
      <c r="A27" s="15" t="s">
        <v>85</v>
      </c>
      <c r="C27" s="15" t="s">
        <v>55</v>
      </c>
      <c r="F27" s="23" t="s">
        <v>86</v>
      </c>
    </row>
    <row r="28" customFormat="false" ht="17.15" hidden="false" customHeight="false" outlineLevel="0" collapsed="false">
      <c r="A28" s="24" t="s">
        <v>57</v>
      </c>
      <c r="B28" s="24" t="s">
        <v>58</v>
      </c>
      <c r="C28" s="24"/>
      <c r="D28" s="24"/>
      <c r="E28" s="24"/>
      <c r="F28" s="24" t="s">
        <v>87</v>
      </c>
      <c r="G28" s="25" t="n">
        <v>12.09</v>
      </c>
    </row>
    <row r="29" customFormat="false" ht="17.15" hidden="false" customHeight="false" outlineLevel="0" collapsed="false">
      <c r="A29" s="24" t="s">
        <v>60</v>
      </c>
      <c r="B29" s="24" t="s">
        <v>61</v>
      </c>
      <c r="C29" s="24"/>
      <c r="D29" s="24"/>
      <c r="E29" s="24"/>
      <c r="F29" s="24" t="s">
        <v>88</v>
      </c>
      <c r="G29" s="26" t="n">
        <f aca="false">ROUND(2*(4.1+2.95),3)</f>
        <v>14.1</v>
      </c>
    </row>
    <row r="30" customFormat="false" ht="17.15" hidden="false" customHeight="false" outlineLevel="0" collapsed="false">
      <c r="A30" s="24" t="s">
        <v>63</v>
      </c>
      <c r="B30" s="24" t="s">
        <v>64</v>
      </c>
      <c r="C30" s="24"/>
      <c r="D30" s="24"/>
      <c r="E30" s="24"/>
      <c r="F30" s="21" t="s">
        <v>89</v>
      </c>
      <c r="G30" s="25" t="n">
        <v>13.1</v>
      </c>
    </row>
    <row r="31" customFormat="false" ht="17.15" hidden="false" customHeight="false" outlineLevel="0" collapsed="false">
      <c r="A31" s="24" t="s">
        <v>66</v>
      </c>
      <c r="B31" s="24" t="s">
        <v>67</v>
      </c>
      <c r="C31" s="24"/>
      <c r="D31" s="24"/>
      <c r="E31" s="24"/>
      <c r="F31" s="21" t="s">
        <v>68</v>
      </c>
      <c r="G31" s="24"/>
    </row>
    <row r="32" customFormat="false" ht="17.15" hidden="false" customHeight="false" outlineLevel="0" collapsed="false">
      <c r="A32" s="27"/>
      <c r="B32" s="27" t="s">
        <v>69</v>
      </c>
      <c r="C32" s="27"/>
      <c r="D32" s="27"/>
      <c r="E32" s="27"/>
      <c r="F32" s="27"/>
      <c r="G32" s="27"/>
    </row>
    <row r="33" customFormat="false" ht="24.75" hidden="false" customHeight="true" outlineLevel="0" collapsed="false">
      <c r="A33" s="24"/>
      <c r="B33" s="21" t="s">
        <v>70</v>
      </c>
      <c r="C33" s="21" t="s">
        <v>83</v>
      </c>
      <c r="D33" s="21" t="s">
        <v>84</v>
      </c>
      <c r="E33" s="24" t="s">
        <v>13</v>
      </c>
      <c r="F33" s="24" t="s">
        <v>73</v>
      </c>
      <c r="G33" s="24" t="n">
        <f aca="false">G28-0</f>
        <v>12.09</v>
      </c>
    </row>
    <row r="34" customFormat="false" ht="24.75" hidden="false" customHeight="true" outlineLevel="0" collapsed="false">
      <c r="A34" s="24"/>
      <c r="B34" s="21" t="s">
        <v>74</v>
      </c>
      <c r="C34" s="21" t="s">
        <v>75</v>
      </c>
      <c r="D34" s="24" t="s">
        <v>76</v>
      </c>
      <c r="E34" s="24" t="s">
        <v>34</v>
      </c>
      <c r="F34" s="24" t="s">
        <v>77</v>
      </c>
      <c r="G34" s="24" t="n">
        <f aca="false">G30</f>
        <v>13.1</v>
      </c>
    </row>
    <row r="35" customFormat="false" ht="24.75" hidden="false" customHeight="true" outlineLevel="0" collapsed="false">
      <c r="A35" s="27"/>
      <c r="B35" s="27" t="s">
        <v>78</v>
      </c>
      <c r="C35" s="27"/>
      <c r="D35" s="27"/>
      <c r="E35" s="27"/>
      <c r="F35" s="27"/>
      <c r="G35" s="27"/>
    </row>
    <row r="37" customFormat="false" ht="15" hidden="false" customHeight="false" outlineLevel="0" collapsed="false">
      <c r="A37" s="22" t="s">
        <v>50</v>
      </c>
      <c r="B37" s="22" t="s">
        <v>51</v>
      </c>
      <c r="C37" s="22" t="s">
        <v>2</v>
      </c>
      <c r="D37" s="22" t="s">
        <v>3</v>
      </c>
      <c r="E37" s="22" t="s">
        <v>4</v>
      </c>
      <c r="F37" s="22" t="s">
        <v>52</v>
      </c>
      <c r="G37" s="22" t="s">
        <v>53</v>
      </c>
    </row>
    <row r="38" customFormat="false" ht="17.15" hidden="false" customHeight="false" outlineLevel="0" collapsed="false">
      <c r="A38" s="15" t="s">
        <v>90</v>
      </c>
      <c r="C38" s="15" t="s">
        <v>55</v>
      </c>
      <c r="F38" s="23" t="s">
        <v>56</v>
      </c>
    </row>
    <row r="39" customFormat="false" ht="17.15" hidden="false" customHeight="false" outlineLevel="0" collapsed="false">
      <c r="A39" s="24" t="s">
        <v>57</v>
      </c>
      <c r="B39" s="24" t="s">
        <v>58</v>
      </c>
      <c r="C39" s="24"/>
      <c r="D39" s="24"/>
      <c r="E39" s="24"/>
      <c r="F39" s="24" t="s">
        <v>91</v>
      </c>
      <c r="G39" s="25" t="n">
        <v>4.1</v>
      </c>
    </row>
    <row r="40" customFormat="false" ht="17.15" hidden="false" customHeight="false" outlineLevel="0" collapsed="false">
      <c r="A40" s="24" t="s">
        <v>60</v>
      </c>
      <c r="B40" s="24" t="s">
        <v>61</v>
      </c>
      <c r="C40" s="24"/>
      <c r="D40" s="24"/>
      <c r="E40" s="24"/>
      <c r="F40" s="24" t="s">
        <v>92</v>
      </c>
      <c r="G40" s="26" t="n">
        <f aca="false">ROUND(2*(2+2.05),3)</f>
        <v>8.1</v>
      </c>
    </row>
    <row r="41" customFormat="false" ht="17.15" hidden="false" customHeight="false" outlineLevel="0" collapsed="false">
      <c r="A41" s="24" t="s">
        <v>63</v>
      </c>
      <c r="B41" s="24" t="s">
        <v>64</v>
      </c>
      <c r="C41" s="24"/>
      <c r="D41" s="24"/>
      <c r="E41" s="24"/>
      <c r="F41" s="21" t="s">
        <v>93</v>
      </c>
      <c r="G41" s="25" t="n">
        <v>7.16</v>
      </c>
    </row>
    <row r="42" customFormat="false" ht="17.15" hidden="false" customHeight="false" outlineLevel="0" collapsed="false">
      <c r="A42" s="24" t="s">
        <v>66</v>
      </c>
      <c r="B42" s="24" t="s">
        <v>67</v>
      </c>
      <c r="C42" s="24"/>
      <c r="D42" s="24"/>
      <c r="E42" s="24"/>
      <c r="F42" s="21" t="s">
        <v>68</v>
      </c>
      <c r="G42" s="24"/>
    </row>
    <row r="43" customFormat="false" ht="17.15" hidden="false" customHeight="false" outlineLevel="0" collapsed="false">
      <c r="A43" s="27"/>
      <c r="B43" s="27" t="s">
        <v>69</v>
      </c>
      <c r="C43" s="27"/>
      <c r="D43" s="27"/>
      <c r="E43" s="27"/>
      <c r="F43" s="27"/>
      <c r="G43" s="27"/>
    </row>
    <row r="44" customFormat="false" ht="24.75" hidden="false" customHeight="true" outlineLevel="0" collapsed="false">
      <c r="A44" s="24"/>
      <c r="B44" s="21" t="s">
        <v>70</v>
      </c>
      <c r="C44" s="21" t="s">
        <v>83</v>
      </c>
      <c r="D44" s="21" t="s">
        <v>84</v>
      </c>
      <c r="E44" s="24" t="s">
        <v>13</v>
      </c>
      <c r="F44" s="24" t="s">
        <v>73</v>
      </c>
      <c r="G44" s="24" t="n">
        <f aca="false">G39-0</f>
        <v>4.1</v>
      </c>
    </row>
    <row r="45" customFormat="false" ht="24.75" hidden="false" customHeight="true" outlineLevel="0" collapsed="false">
      <c r="A45" s="24"/>
      <c r="B45" s="21" t="s">
        <v>74</v>
      </c>
      <c r="C45" s="21" t="s">
        <v>75</v>
      </c>
      <c r="D45" s="24" t="s">
        <v>76</v>
      </c>
      <c r="E45" s="24" t="s">
        <v>34</v>
      </c>
      <c r="F45" s="24" t="s">
        <v>77</v>
      </c>
      <c r="G45" s="24" t="n">
        <f aca="false">G41</f>
        <v>7.16</v>
      </c>
    </row>
    <row r="46" customFormat="false" ht="24.75" hidden="false" customHeight="true" outlineLevel="0" collapsed="false">
      <c r="A46" s="27"/>
      <c r="B46" s="27" t="s">
        <v>78</v>
      </c>
      <c r="C46" s="27"/>
      <c r="D46" s="27"/>
      <c r="E46" s="27"/>
      <c r="F46" s="27"/>
      <c r="G46" s="27"/>
    </row>
    <row r="48" customFormat="false" ht="15" hidden="false" customHeight="false" outlineLevel="0" collapsed="false">
      <c r="A48" s="22" t="s">
        <v>50</v>
      </c>
      <c r="B48" s="22" t="s">
        <v>51</v>
      </c>
      <c r="C48" s="22" t="s">
        <v>2</v>
      </c>
      <c r="D48" s="22" t="s">
        <v>3</v>
      </c>
      <c r="E48" s="22" t="s">
        <v>4</v>
      </c>
      <c r="F48" s="22" t="s">
        <v>52</v>
      </c>
      <c r="G48" s="22" t="s">
        <v>53</v>
      </c>
    </row>
    <row r="49" customFormat="false" ht="17.15" hidden="false" customHeight="false" outlineLevel="0" collapsed="false">
      <c r="A49" s="15" t="s">
        <v>94</v>
      </c>
      <c r="C49" s="15" t="s">
        <v>55</v>
      </c>
      <c r="F49" s="23" t="s">
        <v>80</v>
      </c>
    </row>
    <row r="50" customFormat="false" ht="17.15" hidden="false" customHeight="false" outlineLevel="0" collapsed="false">
      <c r="A50" s="24" t="s">
        <v>57</v>
      </c>
      <c r="B50" s="24" t="s">
        <v>58</v>
      </c>
      <c r="C50" s="24"/>
      <c r="D50" s="24"/>
      <c r="E50" s="24"/>
      <c r="F50" s="24" t="s">
        <v>95</v>
      </c>
      <c r="G50" s="25" t="n">
        <v>4.84</v>
      </c>
    </row>
    <row r="51" customFormat="false" ht="17.15" hidden="false" customHeight="false" outlineLevel="0" collapsed="false">
      <c r="A51" s="24" t="s">
        <v>60</v>
      </c>
      <c r="B51" s="24" t="s">
        <v>61</v>
      </c>
      <c r="C51" s="24"/>
      <c r="D51" s="24"/>
      <c r="E51" s="24"/>
      <c r="F51" s="24" t="s">
        <v>96</v>
      </c>
      <c r="G51" s="26" t="n">
        <f aca="false">ROUND(2*(1.7+2.85),3)</f>
        <v>9.1</v>
      </c>
    </row>
    <row r="52" customFormat="false" ht="17.15" hidden="false" customHeight="false" outlineLevel="0" collapsed="false">
      <c r="A52" s="24" t="s">
        <v>63</v>
      </c>
      <c r="B52" s="24" t="s">
        <v>64</v>
      </c>
      <c r="C52" s="24"/>
      <c r="D52" s="24"/>
      <c r="E52" s="24"/>
      <c r="F52" s="21" t="s">
        <v>97</v>
      </c>
      <c r="G52" s="25" t="n">
        <v>8.1</v>
      </c>
    </row>
    <row r="53" customFormat="false" ht="17.15" hidden="false" customHeight="false" outlineLevel="0" collapsed="false">
      <c r="A53" s="24" t="s">
        <v>66</v>
      </c>
      <c r="B53" s="24" t="s">
        <v>67</v>
      </c>
      <c r="C53" s="24"/>
      <c r="D53" s="24"/>
      <c r="E53" s="24"/>
      <c r="F53" s="21" t="s">
        <v>68</v>
      </c>
      <c r="G53" s="24"/>
    </row>
    <row r="54" customFormat="false" ht="17.15" hidden="false" customHeight="false" outlineLevel="0" collapsed="false">
      <c r="A54" s="27"/>
      <c r="B54" s="27" t="s">
        <v>69</v>
      </c>
      <c r="C54" s="27"/>
      <c r="D54" s="27"/>
      <c r="E54" s="27"/>
      <c r="F54" s="27"/>
      <c r="G54" s="27"/>
    </row>
    <row r="55" customFormat="false" ht="24.75" hidden="false" customHeight="true" outlineLevel="0" collapsed="false">
      <c r="A55" s="24"/>
      <c r="B55" s="21" t="s">
        <v>70</v>
      </c>
      <c r="C55" s="21" t="s">
        <v>83</v>
      </c>
      <c r="D55" s="21" t="s">
        <v>84</v>
      </c>
      <c r="E55" s="24" t="s">
        <v>13</v>
      </c>
      <c r="F55" s="24" t="s">
        <v>73</v>
      </c>
      <c r="G55" s="24" t="n">
        <f aca="false">G50-0</f>
        <v>4.84</v>
      </c>
    </row>
    <row r="56" customFormat="false" ht="24.75" hidden="false" customHeight="true" outlineLevel="0" collapsed="false">
      <c r="A56" s="24"/>
      <c r="B56" s="21" t="s">
        <v>74</v>
      </c>
      <c r="C56" s="21" t="s">
        <v>75</v>
      </c>
      <c r="D56" s="24" t="s">
        <v>76</v>
      </c>
      <c r="E56" s="24" t="s">
        <v>34</v>
      </c>
      <c r="F56" s="24" t="s">
        <v>77</v>
      </c>
      <c r="G56" s="24" t="n">
        <f aca="false">G52</f>
        <v>8.1</v>
      </c>
    </row>
    <row r="57" customFormat="false" ht="24.75" hidden="false" customHeight="true" outlineLevel="0" collapsed="false">
      <c r="A57" s="27"/>
      <c r="B57" s="27" t="s">
        <v>78</v>
      </c>
      <c r="C57" s="27"/>
      <c r="D57" s="27"/>
      <c r="E57" s="27"/>
      <c r="F57" s="27"/>
      <c r="G57" s="27"/>
    </row>
    <row r="59" customFormat="false" ht="15" hidden="false" customHeight="false" outlineLevel="0" collapsed="false">
      <c r="A59" s="22" t="s">
        <v>50</v>
      </c>
      <c r="B59" s="22" t="s">
        <v>51</v>
      </c>
      <c r="C59" s="22" t="s">
        <v>2</v>
      </c>
      <c r="D59" s="22" t="s">
        <v>3</v>
      </c>
      <c r="E59" s="22" t="s">
        <v>4</v>
      </c>
      <c r="F59" s="22" t="s">
        <v>52</v>
      </c>
      <c r="G59" s="22" t="s">
        <v>53</v>
      </c>
    </row>
    <row r="60" customFormat="false" ht="17.15" hidden="false" customHeight="false" outlineLevel="0" collapsed="false">
      <c r="A60" s="15" t="s">
        <v>98</v>
      </c>
      <c r="C60" s="15" t="s">
        <v>55</v>
      </c>
      <c r="F60" s="23" t="s">
        <v>56</v>
      </c>
    </row>
    <row r="61" customFormat="false" ht="17.15" hidden="false" customHeight="false" outlineLevel="0" collapsed="false">
      <c r="A61" s="24" t="s">
        <v>57</v>
      </c>
      <c r="B61" s="24" t="s">
        <v>58</v>
      </c>
      <c r="C61" s="24"/>
      <c r="D61" s="24"/>
      <c r="E61" s="24"/>
      <c r="F61" s="24" t="s">
        <v>99</v>
      </c>
      <c r="G61" s="25" t="n">
        <v>7.11</v>
      </c>
    </row>
    <row r="62" customFormat="false" ht="17.15" hidden="false" customHeight="false" outlineLevel="0" collapsed="false">
      <c r="A62" s="24" t="s">
        <v>60</v>
      </c>
      <c r="B62" s="24" t="s">
        <v>61</v>
      </c>
      <c r="C62" s="24"/>
      <c r="D62" s="24"/>
      <c r="E62" s="24"/>
      <c r="F62" s="24" t="s">
        <v>100</v>
      </c>
      <c r="G62" s="26" t="n">
        <f aca="false">ROUND(2*(2.849+2.495),3)</f>
        <v>10.688</v>
      </c>
    </row>
    <row r="63" customFormat="false" ht="17.15" hidden="false" customHeight="false" outlineLevel="0" collapsed="false">
      <c r="A63" s="24" t="s">
        <v>63</v>
      </c>
      <c r="B63" s="24" t="s">
        <v>64</v>
      </c>
      <c r="C63" s="24"/>
      <c r="D63" s="24"/>
      <c r="E63" s="24"/>
      <c r="F63" s="21" t="s">
        <v>101</v>
      </c>
      <c r="G63" s="25" t="n">
        <v>8.19</v>
      </c>
    </row>
    <row r="64" customFormat="false" ht="17.15" hidden="false" customHeight="false" outlineLevel="0" collapsed="false">
      <c r="A64" s="24" t="s">
        <v>66</v>
      </c>
      <c r="B64" s="24" t="s">
        <v>67</v>
      </c>
      <c r="C64" s="24"/>
      <c r="D64" s="24"/>
      <c r="E64" s="24"/>
      <c r="F64" s="21" t="s">
        <v>68</v>
      </c>
      <c r="G64" s="24"/>
    </row>
    <row r="65" customFormat="false" ht="17.15" hidden="false" customHeight="false" outlineLevel="0" collapsed="false">
      <c r="A65" s="27"/>
      <c r="B65" s="27" t="s">
        <v>69</v>
      </c>
      <c r="C65" s="27"/>
      <c r="D65" s="27"/>
      <c r="E65" s="27"/>
      <c r="F65" s="27"/>
      <c r="G65" s="27"/>
    </row>
    <row r="66" customFormat="false" ht="24.75" hidden="false" customHeight="true" outlineLevel="0" collapsed="false">
      <c r="A66" s="24"/>
      <c r="B66" s="21" t="s">
        <v>70</v>
      </c>
      <c r="C66" s="21" t="s">
        <v>102</v>
      </c>
      <c r="D66" s="21" t="s">
        <v>103</v>
      </c>
      <c r="E66" s="24" t="s">
        <v>13</v>
      </c>
      <c r="F66" s="24" t="s">
        <v>73</v>
      </c>
      <c r="G66" s="24" t="n">
        <f aca="false">G61-0</f>
        <v>7.11</v>
      </c>
    </row>
    <row r="67" customFormat="false" ht="24.75" hidden="false" customHeight="true" outlineLevel="0" collapsed="false">
      <c r="A67" s="24"/>
      <c r="B67" s="21" t="s">
        <v>74</v>
      </c>
      <c r="C67" s="21" t="s">
        <v>75</v>
      </c>
      <c r="D67" s="24" t="s">
        <v>76</v>
      </c>
      <c r="E67" s="24" t="s">
        <v>34</v>
      </c>
      <c r="F67" s="24" t="s">
        <v>77</v>
      </c>
      <c r="G67" s="24" t="n">
        <f aca="false">G63</f>
        <v>8.19</v>
      </c>
    </row>
    <row r="68" customFormat="false" ht="24.75" hidden="false" customHeight="true" outlineLevel="0" collapsed="false">
      <c r="A68" s="27"/>
      <c r="B68" s="27" t="s">
        <v>78</v>
      </c>
      <c r="C68" s="27"/>
      <c r="D68" s="27"/>
      <c r="E68" s="27"/>
      <c r="F68" s="27"/>
      <c r="G68" s="27"/>
    </row>
    <row r="70" customFormat="false" ht="15" hidden="false" customHeight="false" outlineLevel="0" collapsed="false">
      <c r="A70" s="22" t="s">
        <v>50</v>
      </c>
      <c r="B70" s="22" t="s">
        <v>51</v>
      </c>
      <c r="C70" s="22" t="s">
        <v>2</v>
      </c>
      <c r="D70" s="22" t="s">
        <v>3</v>
      </c>
      <c r="E70" s="22" t="s">
        <v>4</v>
      </c>
      <c r="F70" s="22" t="s">
        <v>52</v>
      </c>
      <c r="G70" s="22" t="s">
        <v>53</v>
      </c>
    </row>
    <row r="71" customFormat="false" ht="17.15" hidden="false" customHeight="false" outlineLevel="0" collapsed="false">
      <c r="A71" s="15" t="s">
        <v>104</v>
      </c>
      <c r="C71" s="15" t="s">
        <v>55</v>
      </c>
      <c r="F71" s="23" t="s">
        <v>56</v>
      </c>
    </row>
    <row r="72" customFormat="false" ht="17.15" hidden="false" customHeight="false" outlineLevel="0" collapsed="false">
      <c r="A72" s="24" t="s">
        <v>57</v>
      </c>
      <c r="B72" s="24" t="s">
        <v>58</v>
      </c>
      <c r="C72" s="24"/>
      <c r="D72" s="24"/>
      <c r="E72" s="24"/>
      <c r="F72" s="24" t="s">
        <v>105</v>
      </c>
      <c r="G72" s="25" t="n">
        <v>31.57</v>
      </c>
    </row>
    <row r="73" customFormat="false" ht="17.15" hidden="false" customHeight="false" outlineLevel="0" collapsed="false">
      <c r="A73" s="24" t="s">
        <v>60</v>
      </c>
      <c r="B73" s="24" t="s">
        <v>61</v>
      </c>
      <c r="C73" s="24"/>
      <c r="D73" s="24"/>
      <c r="E73" s="24"/>
      <c r="F73" s="21" t="s">
        <v>62</v>
      </c>
      <c r="G73" s="26"/>
    </row>
    <row r="74" customFormat="false" ht="17.15" hidden="false" customHeight="false" outlineLevel="0" collapsed="false">
      <c r="A74" s="24" t="s">
        <v>63</v>
      </c>
      <c r="B74" s="24" t="s">
        <v>64</v>
      </c>
      <c r="C74" s="24"/>
      <c r="D74" s="24"/>
      <c r="E74" s="24"/>
      <c r="F74" s="21" t="s">
        <v>106</v>
      </c>
      <c r="G74" s="25" t="n">
        <v>22.22</v>
      </c>
    </row>
    <row r="75" customFormat="false" ht="17.15" hidden="false" customHeight="false" outlineLevel="0" collapsed="false">
      <c r="A75" s="24" t="s">
        <v>66</v>
      </c>
      <c r="B75" s="24" t="s">
        <v>67</v>
      </c>
      <c r="C75" s="24"/>
      <c r="D75" s="24"/>
      <c r="E75" s="24"/>
      <c r="F75" s="21" t="s">
        <v>68</v>
      </c>
      <c r="G75" s="24"/>
    </row>
    <row r="76" customFormat="false" ht="17.15" hidden="false" customHeight="false" outlineLevel="0" collapsed="false">
      <c r="A76" s="27"/>
      <c r="B76" s="27" t="s">
        <v>69</v>
      </c>
      <c r="C76" s="27"/>
      <c r="D76" s="27"/>
      <c r="E76" s="27"/>
      <c r="F76" s="27"/>
      <c r="G76" s="27"/>
    </row>
    <row r="77" customFormat="false" ht="24.75" hidden="false" customHeight="true" outlineLevel="0" collapsed="false">
      <c r="A77" s="24"/>
      <c r="B77" s="21" t="s">
        <v>70</v>
      </c>
      <c r="C77" s="21" t="s">
        <v>102</v>
      </c>
      <c r="D77" s="21" t="s">
        <v>103</v>
      </c>
      <c r="E77" s="24" t="s">
        <v>13</v>
      </c>
      <c r="F77" s="24" t="s">
        <v>73</v>
      </c>
      <c r="G77" s="24" t="n">
        <f aca="false">G72-0</f>
        <v>31.57</v>
      </c>
    </row>
    <row r="78" customFormat="false" ht="24.75" hidden="false" customHeight="true" outlineLevel="0" collapsed="false">
      <c r="A78" s="24"/>
      <c r="B78" s="21" t="s">
        <v>74</v>
      </c>
      <c r="C78" s="21" t="s">
        <v>75</v>
      </c>
      <c r="D78" s="24" t="s">
        <v>76</v>
      </c>
      <c r="E78" s="24" t="s">
        <v>34</v>
      </c>
      <c r="F78" s="24" t="s">
        <v>77</v>
      </c>
      <c r="G78" s="24" t="n">
        <f aca="false">G74</f>
        <v>22.22</v>
      </c>
    </row>
    <row r="79" customFormat="false" ht="24.75" hidden="false" customHeight="true" outlineLevel="0" collapsed="false">
      <c r="A79" s="27"/>
      <c r="B79" s="27" t="s">
        <v>78</v>
      </c>
      <c r="C79" s="27"/>
      <c r="D79" s="27"/>
      <c r="E79" s="27"/>
      <c r="F79" s="27"/>
      <c r="G79" s="27"/>
    </row>
    <row r="81" customFormat="false" ht="15" hidden="false" customHeight="false" outlineLevel="0" collapsed="false">
      <c r="A81" s="22" t="s">
        <v>50</v>
      </c>
      <c r="B81" s="22" t="s">
        <v>51</v>
      </c>
      <c r="C81" s="22" t="s">
        <v>2</v>
      </c>
      <c r="D81" s="22" t="s">
        <v>3</v>
      </c>
      <c r="E81" s="22" t="s">
        <v>4</v>
      </c>
      <c r="F81" s="22" t="s">
        <v>52</v>
      </c>
      <c r="G81" s="22" t="s">
        <v>53</v>
      </c>
    </row>
    <row r="82" customFormat="false" ht="17.15" hidden="false" customHeight="false" outlineLevel="0" collapsed="false">
      <c r="A82" s="15" t="s">
        <v>107</v>
      </c>
      <c r="C82" s="15" t="s">
        <v>55</v>
      </c>
      <c r="F82" s="23" t="s">
        <v>56</v>
      </c>
    </row>
    <row r="83" customFormat="false" ht="17.15" hidden="false" customHeight="false" outlineLevel="0" collapsed="false">
      <c r="A83" s="24" t="s">
        <v>57</v>
      </c>
      <c r="B83" s="24" t="s">
        <v>58</v>
      </c>
      <c r="C83" s="24"/>
      <c r="D83" s="24"/>
      <c r="E83" s="24"/>
      <c r="F83" s="24" t="s">
        <v>108</v>
      </c>
      <c r="G83" s="25" t="n">
        <v>8.55</v>
      </c>
    </row>
    <row r="84" customFormat="false" ht="17.15" hidden="false" customHeight="false" outlineLevel="0" collapsed="false">
      <c r="A84" s="24" t="s">
        <v>60</v>
      </c>
      <c r="B84" s="24" t="s">
        <v>61</v>
      </c>
      <c r="C84" s="24"/>
      <c r="D84" s="24"/>
      <c r="E84" s="24"/>
      <c r="F84" s="21" t="s">
        <v>62</v>
      </c>
      <c r="G84" s="26"/>
    </row>
    <row r="85" customFormat="false" ht="17.15" hidden="false" customHeight="false" outlineLevel="0" collapsed="false">
      <c r="A85" s="24" t="s">
        <v>63</v>
      </c>
      <c r="B85" s="24" t="s">
        <v>64</v>
      </c>
      <c r="C85" s="24"/>
      <c r="D85" s="24"/>
      <c r="E85" s="24"/>
      <c r="F85" s="21" t="s">
        <v>109</v>
      </c>
      <c r="G85" s="25" t="n">
        <v>11.5</v>
      </c>
    </row>
    <row r="86" customFormat="false" ht="17.15" hidden="false" customHeight="false" outlineLevel="0" collapsed="false">
      <c r="A86" s="24" t="s">
        <v>66</v>
      </c>
      <c r="B86" s="24" t="s">
        <v>67</v>
      </c>
      <c r="C86" s="24"/>
      <c r="D86" s="24"/>
      <c r="E86" s="24"/>
      <c r="F86" s="21" t="s">
        <v>68</v>
      </c>
      <c r="G86" s="24"/>
    </row>
    <row r="87" customFormat="false" ht="17.15" hidden="false" customHeight="false" outlineLevel="0" collapsed="false">
      <c r="A87" s="27"/>
      <c r="B87" s="27" t="s">
        <v>69</v>
      </c>
      <c r="C87" s="27"/>
      <c r="D87" s="27"/>
      <c r="E87" s="27"/>
      <c r="F87" s="27"/>
      <c r="G87" s="27"/>
    </row>
    <row r="88" customFormat="false" ht="24.75" hidden="false" customHeight="true" outlineLevel="0" collapsed="false">
      <c r="A88" s="24"/>
      <c r="B88" s="21" t="s">
        <v>70</v>
      </c>
      <c r="C88" s="21" t="s">
        <v>110</v>
      </c>
      <c r="D88" s="21" t="s">
        <v>72</v>
      </c>
      <c r="E88" s="24" t="s">
        <v>13</v>
      </c>
      <c r="F88" s="24" t="s">
        <v>73</v>
      </c>
      <c r="G88" s="24" t="n">
        <f aca="false">G83-0</f>
        <v>8.55</v>
      </c>
    </row>
    <row r="89" customFormat="false" ht="24.75" hidden="false" customHeight="true" outlineLevel="0" collapsed="false">
      <c r="A89" s="24"/>
      <c r="B89" s="21" t="s">
        <v>74</v>
      </c>
      <c r="C89" s="21" t="s">
        <v>75</v>
      </c>
      <c r="D89" s="24" t="s">
        <v>76</v>
      </c>
      <c r="E89" s="24" t="s">
        <v>34</v>
      </c>
      <c r="F89" s="24" t="s">
        <v>77</v>
      </c>
      <c r="G89" s="24" t="n">
        <f aca="false">G85</f>
        <v>11.5</v>
      </c>
    </row>
    <row r="90" customFormat="false" ht="24.75" hidden="false" customHeight="true" outlineLevel="0" collapsed="false">
      <c r="A90" s="27"/>
      <c r="B90" s="27" t="s">
        <v>78</v>
      </c>
      <c r="C90" s="27"/>
      <c r="D90" s="27"/>
      <c r="E90" s="27"/>
      <c r="F90" s="27"/>
      <c r="G90" s="27"/>
    </row>
    <row r="92" customFormat="false" ht="15" hidden="false" customHeight="false" outlineLevel="0" collapsed="false">
      <c r="A92" s="22" t="s">
        <v>50</v>
      </c>
      <c r="B92" s="22" t="s">
        <v>51</v>
      </c>
      <c r="C92" s="22" t="s">
        <v>2</v>
      </c>
      <c r="D92" s="22" t="s">
        <v>3</v>
      </c>
      <c r="E92" s="22" t="s">
        <v>4</v>
      </c>
      <c r="F92" s="22" t="s">
        <v>52</v>
      </c>
      <c r="G92" s="22" t="s">
        <v>53</v>
      </c>
    </row>
    <row r="93" customFormat="false" ht="17.15" hidden="false" customHeight="false" outlineLevel="0" collapsed="false">
      <c r="A93" s="15" t="s">
        <v>111</v>
      </c>
      <c r="C93" s="15" t="s">
        <v>55</v>
      </c>
      <c r="F93" s="23" t="s">
        <v>56</v>
      </c>
    </row>
    <row r="94" customFormat="false" ht="17.15" hidden="false" customHeight="false" outlineLevel="0" collapsed="false">
      <c r="A94" s="24" t="s">
        <v>57</v>
      </c>
      <c r="B94" s="24" t="s">
        <v>58</v>
      </c>
      <c r="C94" s="24"/>
      <c r="D94" s="24"/>
      <c r="E94" s="24"/>
      <c r="F94" s="24" t="s">
        <v>112</v>
      </c>
      <c r="G94" s="25" t="n">
        <v>12.29</v>
      </c>
    </row>
    <row r="95" customFormat="false" ht="17.15" hidden="false" customHeight="false" outlineLevel="0" collapsed="false">
      <c r="A95" s="24" t="s">
        <v>60</v>
      </c>
      <c r="B95" s="24" t="s">
        <v>61</v>
      </c>
      <c r="C95" s="24"/>
      <c r="D95" s="24"/>
      <c r="E95" s="24"/>
      <c r="F95" s="21" t="s">
        <v>62</v>
      </c>
      <c r="G95" s="26"/>
    </row>
    <row r="96" customFormat="false" ht="17.15" hidden="false" customHeight="false" outlineLevel="0" collapsed="false">
      <c r="A96" s="24" t="s">
        <v>63</v>
      </c>
      <c r="B96" s="24" t="s">
        <v>64</v>
      </c>
      <c r="C96" s="24"/>
      <c r="D96" s="24"/>
      <c r="E96" s="24"/>
      <c r="F96" s="21" t="s">
        <v>113</v>
      </c>
      <c r="G96" s="25" t="n">
        <v>5.13</v>
      </c>
    </row>
    <row r="97" customFormat="false" ht="17.15" hidden="false" customHeight="false" outlineLevel="0" collapsed="false">
      <c r="A97" s="24" t="s">
        <v>66</v>
      </c>
      <c r="B97" s="24" t="s">
        <v>67</v>
      </c>
      <c r="C97" s="24"/>
      <c r="D97" s="24"/>
      <c r="E97" s="24"/>
      <c r="F97" s="21" t="s">
        <v>68</v>
      </c>
      <c r="G97" s="24"/>
    </row>
    <row r="98" customFormat="false" ht="17.15" hidden="false" customHeight="false" outlineLevel="0" collapsed="false">
      <c r="A98" s="27"/>
      <c r="B98" s="27" t="s">
        <v>69</v>
      </c>
      <c r="C98" s="27"/>
      <c r="D98" s="27"/>
      <c r="E98" s="27"/>
      <c r="F98" s="27"/>
      <c r="G98" s="27"/>
    </row>
    <row r="99" customFormat="false" ht="24.75" hidden="false" customHeight="true" outlineLevel="0" collapsed="false">
      <c r="A99" s="24"/>
      <c r="B99" s="21" t="s">
        <v>70</v>
      </c>
      <c r="C99" s="21" t="s">
        <v>110</v>
      </c>
      <c r="D99" s="21" t="s">
        <v>72</v>
      </c>
      <c r="E99" s="24" t="s">
        <v>13</v>
      </c>
      <c r="F99" s="24" t="s">
        <v>73</v>
      </c>
      <c r="G99" s="24" t="n">
        <f aca="false">G94-0</f>
        <v>12.29</v>
      </c>
    </row>
    <row r="100" customFormat="false" ht="24.75" hidden="false" customHeight="true" outlineLevel="0" collapsed="false">
      <c r="A100" s="24"/>
      <c r="B100" s="21" t="s">
        <v>74</v>
      </c>
      <c r="C100" s="21" t="s">
        <v>75</v>
      </c>
      <c r="D100" s="24" t="s">
        <v>76</v>
      </c>
      <c r="E100" s="24" t="s">
        <v>34</v>
      </c>
      <c r="F100" s="24" t="s">
        <v>77</v>
      </c>
      <c r="G100" s="24" t="n">
        <f aca="false">G96</f>
        <v>5.13</v>
      </c>
    </row>
    <row r="101" customFormat="false" ht="24.75" hidden="false" customHeight="true" outlineLevel="0" collapsed="false">
      <c r="A101" s="27"/>
      <c r="B101" s="27" t="s">
        <v>78</v>
      </c>
      <c r="C101" s="27"/>
      <c r="D101" s="27"/>
      <c r="E101" s="27"/>
      <c r="F101" s="27"/>
      <c r="G101" s="27"/>
    </row>
    <row r="103" customFormat="false" ht="15" hidden="false" customHeight="false" outlineLevel="0" collapsed="false">
      <c r="A103" s="22" t="s">
        <v>50</v>
      </c>
      <c r="B103" s="22" t="s">
        <v>51</v>
      </c>
      <c r="C103" s="22" t="s">
        <v>2</v>
      </c>
      <c r="D103" s="22" t="s">
        <v>3</v>
      </c>
      <c r="E103" s="22" t="s">
        <v>4</v>
      </c>
      <c r="F103" s="22" t="s">
        <v>52</v>
      </c>
      <c r="G103" s="22" t="s">
        <v>53</v>
      </c>
    </row>
    <row r="104" customFormat="false" ht="17.15" hidden="false" customHeight="false" outlineLevel="0" collapsed="false">
      <c r="A104" s="15" t="s">
        <v>114</v>
      </c>
      <c r="C104" s="15" t="s">
        <v>55</v>
      </c>
      <c r="F104" s="23" t="s">
        <v>56</v>
      </c>
    </row>
    <row r="105" customFormat="false" ht="17.15" hidden="false" customHeight="false" outlineLevel="0" collapsed="false">
      <c r="A105" s="24" t="s">
        <v>57</v>
      </c>
      <c r="B105" s="24" t="s">
        <v>58</v>
      </c>
      <c r="C105" s="24"/>
      <c r="D105" s="24"/>
      <c r="E105" s="24"/>
      <c r="F105" s="24" t="s">
        <v>115</v>
      </c>
      <c r="G105" s="25" t="n">
        <v>12.49</v>
      </c>
    </row>
    <row r="106" customFormat="false" ht="17.15" hidden="false" customHeight="false" outlineLevel="0" collapsed="false">
      <c r="A106" s="24" t="s">
        <v>60</v>
      </c>
      <c r="B106" s="24" t="s">
        <v>61</v>
      </c>
      <c r="C106" s="24"/>
      <c r="D106" s="24"/>
      <c r="E106" s="24"/>
      <c r="F106" s="24" t="s">
        <v>116</v>
      </c>
      <c r="G106" s="26" t="n">
        <f aca="false">ROUND(2*(3.203+3.9),3)</f>
        <v>14.206</v>
      </c>
    </row>
    <row r="107" customFormat="false" ht="17.15" hidden="false" customHeight="false" outlineLevel="0" collapsed="false">
      <c r="A107" s="24" t="s">
        <v>63</v>
      </c>
      <c r="B107" s="24" t="s">
        <v>64</v>
      </c>
      <c r="C107" s="24"/>
      <c r="D107" s="24"/>
      <c r="E107" s="24"/>
      <c r="F107" s="21" t="s">
        <v>117</v>
      </c>
      <c r="G107" s="25" t="n">
        <v>0</v>
      </c>
    </row>
    <row r="108" customFormat="false" ht="17.15" hidden="false" customHeight="false" outlineLevel="0" collapsed="false">
      <c r="A108" s="24" t="s">
        <v>66</v>
      </c>
      <c r="B108" s="24" t="s">
        <v>67</v>
      </c>
      <c r="C108" s="24"/>
      <c r="D108" s="24"/>
      <c r="E108" s="24"/>
      <c r="F108" s="21" t="s">
        <v>68</v>
      </c>
      <c r="G108" s="24"/>
    </row>
    <row r="109" customFormat="false" ht="17.15" hidden="false" customHeight="false" outlineLevel="0" collapsed="false">
      <c r="A109" s="27"/>
      <c r="B109" s="27" t="s">
        <v>69</v>
      </c>
      <c r="C109" s="27"/>
      <c r="D109" s="27"/>
      <c r="E109" s="27"/>
      <c r="F109" s="27"/>
      <c r="G109" s="27"/>
    </row>
    <row r="110" customFormat="false" ht="24.75" hidden="false" customHeight="true" outlineLevel="0" collapsed="false">
      <c r="A110" s="24"/>
      <c r="B110" s="21" t="s">
        <v>70</v>
      </c>
      <c r="C110" s="21" t="s">
        <v>110</v>
      </c>
      <c r="D110" s="21" t="s">
        <v>72</v>
      </c>
      <c r="E110" s="24" t="s">
        <v>13</v>
      </c>
      <c r="F110" s="24" t="s">
        <v>73</v>
      </c>
      <c r="G110" s="24" t="n">
        <f aca="false">G105-0</f>
        <v>12.49</v>
      </c>
    </row>
    <row r="111" customFormat="false" ht="24.75" hidden="false" customHeight="true" outlineLevel="0" collapsed="false">
      <c r="A111" s="24"/>
      <c r="B111" s="21" t="s">
        <v>74</v>
      </c>
      <c r="C111" s="21" t="s">
        <v>75</v>
      </c>
      <c r="D111" s="24" t="s">
        <v>76</v>
      </c>
      <c r="E111" s="24" t="s">
        <v>34</v>
      </c>
      <c r="F111" s="24" t="s">
        <v>77</v>
      </c>
      <c r="G111" s="24" t="n">
        <f aca="false">G107</f>
        <v>0</v>
      </c>
    </row>
    <row r="112" customFormat="false" ht="24.75" hidden="false" customHeight="true" outlineLevel="0" collapsed="false">
      <c r="A112" s="27"/>
      <c r="B112" s="27" t="s">
        <v>78</v>
      </c>
      <c r="C112" s="27"/>
      <c r="D112" s="27"/>
      <c r="E112" s="27"/>
      <c r="F112" s="27"/>
      <c r="G112" s="27"/>
    </row>
    <row r="114" customFormat="false" ht="15" hidden="false" customHeight="false" outlineLevel="0" collapsed="false">
      <c r="A114" s="22" t="s">
        <v>50</v>
      </c>
      <c r="B114" s="22" t="s">
        <v>51</v>
      </c>
      <c r="C114" s="22" t="s">
        <v>2</v>
      </c>
      <c r="D114" s="22" t="s">
        <v>3</v>
      </c>
      <c r="E114" s="22" t="s">
        <v>4</v>
      </c>
      <c r="F114" s="22" t="s">
        <v>52</v>
      </c>
      <c r="G114" s="22" t="s">
        <v>53</v>
      </c>
    </row>
    <row r="115" customFormat="false" ht="17.15" hidden="false" customHeight="false" outlineLevel="0" collapsed="false">
      <c r="A115" s="15" t="s">
        <v>118</v>
      </c>
      <c r="C115" s="15" t="s">
        <v>55</v>
      </c>
      <c r="F115" s="23" t="s">
        <v>56</v>
      </c>
    </row>
    <row r="116" customFormat="false" ht="17.15" hidden="false" customHeight="false" outlineLevel="0" collapsed="false">
      <c r="A116" s="24" t="s">
        <v>57</v>
      </c>
      <c r="B116" s="24" t="s">
        <v>58</v>
      </c>
      <c r="C116" s="24"/>
      <c r="D116" s="24"/>
      <c r="E116" s="24"/>
      <c r="F116" s="24" t="s">
        <v>119</v>
      </c>
      <c r="G116" s="25" t="n">
        <v>12.28</v>
      </c>
    </row>
    <row r="117" customFormat="false" ht="17.15" hidden="false" customHeight="false" outlineLevel="0" collapsed="false">
      <c r="A117" s="24" t="s">
        <v>60</v>
      </c>
      <c r="B117" s="24" t="s">
        <v>61</v>
      </c>
      <c r="C117" s="24"/>
      <c r="D117" s="24"/>
      <c r="E117" s="24"/>
      <c r="F117" s="21" t="s">
        <v>62</v>
      </c>
      <c r="G117" s="26"/>
    </row>
    <row r="118" customFormat="false" ht="17.15" hidden="false" customHeight="false" outlineLevel="0" collapsed="false">
      <c r="A118" s="24" t="s">
        <v>63</v>
      </c>
      <c r="B118" s="24" t="s">
        <v>64</v>
      </c>
      <c r="C118" s="24"/>
      <c r="D118" s="24"/>
      <c r="E118" s="24"/>
      <c r="F118" s="21" t="s">
        <v>120</v>
      </c>
      <c r="G118" s="25" t="n">
        <v>3.35</v>
      </c>
    </row>
    <row r="119" customFormat="false" ht="17.15" hidden="false" customHeight="false" outlineLevel="0" collapsed="false">
      <c r="A119" s="24" t="s">
        <v>66</v>
      </c>
      <c r="B119" s="24" t="s">
        <v>67</v>
      </c>
      <c r="C119" s="24"/>
      <c r="D119" s="24"/>
      <c r="E119" s="24"/>
      <c r="F119" s="21" t="s">
        <v>68</v>
      </c>
      <c r="G119" s="24"/>
    </row>
    <row r="120" customFormat="false" ht="17.15" hidden="false" customHeight="false" outlineLevel="0" collapsed="false">
      <c r="A120" s="27"/>
      <c r="B120" s="27" t="s">
        <v>69</v>
      </c>
      <c r="C120" s="27"/>
      <c r="D120" s="27"/>
      <c r="E120" s="27"/>
      <c r="F120" s="27"/>
      <c r="G120" s="27"/>
    </row>
    <row r="121" customFormat="false" ht="24.75" hidden="false" customHeight="true" outlineLevel="0" collapsed="false">
      <c r="A121" s="24"/>
      <c r="B121" s="21" t="s">
        <v>70</v>
      </c>
      <c r="C121" s="21" t="s">
        <v>110</v>
      </c>
      <c r="D121" s="21" t="s">
        <v>72</v>
      </c>
      <c r="E121" s="24" t="s">
        <v>13</v>
      </c>
      <c r="F121" s="24" t="s">
        <v>73</v>
      </c>
      <c r="G121" s="24" t="n">
        <f aca="false">G116-0</f>
        <v>12.28</v>
      </c>
    </row>
    <row r="122" customFormat="false" ht="24.75" hidden="false" customHeight="true" outlineLevel="0" collapsed="false">
      <c r="A122" s="24"/>
      <c r="B122" s="21" t="s">
        <v>74</v>
      </c>
      <c r="C122" s="21" t="s">
        <v>75</v>
      </c>
      <c r="D122" s="24" t="s">
        <v>76</v>
      </c>
      <c r="E122" s="24" t="s">
        <v>34</v>
      </c>
      <c r="F122" s="24" t="s">
        <v>77</v>
      </c>
      <c r="G122" s="24" t="n">
        <f aca="false">G118</f>
        <v>3.35</v>
      </c>
    </row>
    <row r="123" customFormat="false" ht="24.75" hidden="false" customHeight="true" outlineLevel="0" collapsed="false">
      <c r="A123" s="27"/>
      <c r="B123" s="27" t="s">
        <v>78</v>
      </c>
      <c r="C123" s="27"/>
      <c r="D123" s="27"/>
      <c r="E123" s="27"/>
      <c r="F123" s="27"/>
      <c r="G123" s="27"/>
    </row>
    <row r="125" customFormat="false" ht="15" hidden="false" customHeight="false" outlineLevel="0" collapsed="false">
      <c r="A125" s="22" t="s">
        <v>50</v>
      </c>
      <c r="B125" s="22" t="s">
        <v>51</v>
      </c>
      <c r="C125" s="22" t="s">
        <v>2</v>
      </c>
      <c r="D125" s="22" t="s">
        <v>3</v>
      </c>
      <c r="E125" s="22" t="s">
        <v>4</v>
      </c>
      <c r="F125" s="22" t="s">
        <v>52</v>
      </c>
      <c r="G125" s="22" t="s">
        <v>53</v>
      </c>
    </row>
    <row r="126" customFormat="false" ht="17.15" hidden="false" customHeight="false" outlineLevel="0" collapsed="false">
      <c r="A126" s="15" t="s">
        <v>121</v>
      </c>
      <c r="C126" s="15" t="s">
        <v>55</v>
      </c>
      <c r="F126" s="23" t="s">
        <v>56</v>
      </c>
    </row>
    <row r="127" customFormat="false" ht="17.15" hidden="false" customHeight="false" outlineLevel="0" collapsed="false">
      <c r="A127" s="24" t="s">
        <v>57</v>
      </c>
      <c r="B127" s="24" t="s">
        <v>58</v>
      </c>
      <c r="C127" s="24"/>
      <c r="D127" s="24"/>
      <c r="E127" s="24"/>
      <c r="F127" s="24" t="s">
        <v>122</v>
      </c>
      <c r="G127" s="25" t="n">
        <v>5.5</v>
      </c>
    </row>
    <row r="128" customFormat="false" ht="17.15" hidden="false" customHeight="false" outlineLevel="0" collapsed="false">
      <c r="A128" s="24" t="s">
        <v>60</v>
      </c>
      <c r="B128" s="24" t="s">
        <v>61</v>
      </c>
      <c r="C128" s="24"/>
      <c r="D128" s="24"/>
      <c r="E128" s="24"/>
      <c r="F128" s="24" t="s">
        <v>123</v>
      </c>
      <c r="G128" s="26" t="n">
        <f aca="false">ROUND(2*(1.673+3.29),3)</f>
        <v>9.926</v>
      </c>
    </row>
    <row r="129" customFormat="false" ht="17.15" hidden="false" customHeight="false" outlineLevel="0" collapsed="false">
      <c r="A129" s="24" t="s">
        <v>63</v>
      </c>
      <c r="B129" s="24" t="s">
        <v>64</v>
      </c>
      <c r="C129" s="24"/>
      <c r="D129" s="24"/>
      <c r="E129" s="24"/>
      <c r="F129" s="21" t="s">
        <v>124</v>
      </c>
      <c r="G129" s="25" t="n">
        <v>8.95</v>
      </c>
    </row>
    <row r="130" customFormat="false" ht="17.15" hidden="false" customHeight="false" outlineLevel="0" collapsed="false">
      <c r="A130" s="24" t="s">
        <v>66</v>
      </c>
      <c r="B130" s="24" t="s">
        <v>67</v>
      </c>
      <c r="C130" s="24"/>
      <c r="D130" s="24"/>
      <c r="E130" s="24"/>
      <c r="F130" s="21" t="s">
        <v>68</v>
      </c>
      <c r="G130" s="24"/>
    </row>
    <row r="131" customFormat="false" ht="17.15" hidden="false" customHeight="false" outlineLevel="0" collapsed="false">
      <c r="A131" s="27"/>
      <c r="B131" s="27" t="s">
        <v>69</v>
      </c>
      <c r="C131" s="27"/>
      <c r="D131" s="27"/>
      <c r="E131" s="27"/>
      <c r="F131" s="27"/>
      <c r="G131" s="27"/>
    </row>
    <row r="132" customFormat="false" ht="24.75" hidden="false" customHeight="true" outlineLevel="0" collapsed="false">
      <c r="A132" s="24"/>
      <c r="B132" s="21" t="s">
        <v>70</v>
      </c>
      <c r="C132" s="21" t="s">
        <v>83</v>
      </c>
      <c r="D132" s="21" t="s">
        <v>84</v>
      </c>
      <c r="E132" s="24" t="s">
        <v>13</v>
      </c>
      <c r="F132" s="24" t="s">
        <v>73</v>
      </c>
      <c r="G132" s="24" t="n">
        <f aca="false">G127-0</f>
        <v>5.5</v>
      </c>
    </row>
    <row r="133" customFormat="false" ht="24.75" hidden="false" customHeight="true" outlineLevel="0" collapsed="false">
      <c r="A133" s="24"/>
      <c r="B133" s="21" t="s">
        <v>74</v>
      </c>
      <c r="C133" s="21" t="s">
        <v>75</v>
      </c>
      <c r="D133" s="24" t="s">
        <v>76</v>
      </c>
      <c r="E133" s="24" t="s">
        <v>34</v>
      </c>
      <c r="F133" s="24" t="s">
        <v>77</v>
      </c>
      <c r="G133" s="24" t="n">
        <f aca="false">G129</f>
        <v>8.95</v>
      </c>
    </row>
    <row r="134" customFormat="false" ht="24.75" hidden="false" customHeight="true" outlineLevel="0" collapsed="false">
      <c r="A134" s="27"/>
      <c r="B134" s="27" t="s">
        <v>78</v>
      </c>
      <c r="C134" s="27"/>
      <c r="D134" s="27"/>
      <c r="E134" s="27"/>
      <c r="F134" s="27"/>
      <c r="G134" s="27"/>
    </row>
    <row r="136" customFormat="false" ht="15" hidden="false" customHeight="false" outlineLevel="0" collapsed="false">
      <c r="A136" s="22" t="s">
        <v>50</v>
      </c>
      <c r="B136" s="22" t="s">
        <v>51</v>
      </c>
      <c r="C136" s="22" t="s">
        <v>2</v>
      </c>
      <c r="D136" s="22" t="s">
        <v>3</v>
      </c>
      <c r="E136" s="22" t="s">
        <v>4</v>
      </c>
      <c r="F136" s="22" t="s">
        <v>52</v>
      </c>
      <c r="G136" s="22" t="s">
        <v>53</v>
      </c>
    </row>
    <row r="137" customFormat="false" ht="17.15" hidden="false" customHeight="false" outlineLevel="0" collapsed="false">
      <c r="A137" s="15" t="s">
        <v>125</v>
      </c>
      <c r="C137" s="15" t="s">
        <v>55</v>
      </c>
      <c r="F137" s="23" t="s">
        <v>86</v>
      </c>
    </row>
    <row r="138" customFormat="false" ht="17.15" hidden="false" customHeight="false" outlineLevel="0" collapsed="false">
      <c r="A138" s="24" t="s">
        <v>57</v>
      </c>
      <c r="B138" s="24" t="s">
        <v>58</v>
      </c>
      <c r="C138" s="24"/>
      <c r="D138" s="24"/>
      <c r="E138" s="24"/>
      <c r="F138" s="24" t="s">
        <v>126</v>
      </c>
      <c r="G138" s="25" t="n">
        <v>6.32</v>
      </c>
    </row>
    <row r="139" customFormat="false" ht="17.15" hidden="false" customHeight="false" outlineLevel="0" collapsed="false">
      <c r="A139" s="24" t="s">
        <v>60</v>
      </c>
      <c r="B139" s="24" t="s">
        <v>61</v>
      </c>
      <c r="C139" s="24"/>
      <c r="D139" s="24"/>
      <c r="E139" s="24"/>
      <c r="F139" s="24" t="s">
        <v>127</v>
      </c>
      <c r="G139" s="26" t="n">
        <f aca="false">ROUND(2*(1.395+4.531),3)</f>
        <v>11.852</v>
      </c>
    </row>
    <row r="140" customFormat="false" ht="17.15" hidden="false" customHeight="false" outlineLevel="0" collapsed="false">
      <c r="A140" s="24" t="s">
        <v>63</v>
      </c>
      <c r="B140" s="24" t="s">
        <v>64</v>
      </c>
      <c r="C140" s="24"/>
      <c r="D140" s="24"/>
      <c r="E140" s="24"/>
      <c r="F140" s="21" t="s">
        <v>128</v>
      </c>
      <c r="G140" s="25" t="n">
        <v>9.97</v>
      </c>
    </row>
    <row r="141" customFormat="false" ht="17.15" hidden="false" customHeight="false" outlineLevel="0" collapsed="false">
      <c r="A141" s="24" t="s">
        <v>66</v>
      </c>
      <c r="B141" s="24" t="s">
        <v>67</v>
      </c>
      <c r="C141" s="24"/>
      <c r="D141" s="24"/>
      <c r="E141" s="24"/>
      <c r="F141" s="21" t="s">
        <v>68</v>
      </c>
      <c r="G141" s="24"/>
    </row>
    <row r="142" customFormat="false" ht="17.15" hidden="false" customHeight="false" outlineLevel="0" collapsed="false">
      <c r="A142" s="27"/>
      <c r="B142" s="27" t="s">
        <v>69</v>
      </c>
      <c r="C142" s="27"/>
      <c r="D142" s="27"/>
      <c r="E142" s="27"/>
      <c r="F142" s="27"/>
      <c r="G142" s="27"/>
    </row>
    <row r="143" customFormat="false" ht="24.75" hidden="false" customHeight="true" outlineLevel="0" collapsed="false">
      <c r="A143" s="24"/>
      <c r="B143" s="21" t="s">
        <v>70</v>
      </c>
      <c r="C143" s="21" t="s">
        <v>129</v>
      </c>
      <c r="D143" s="21" t="s">
        <v>130</v>
      </c>
      <c r="E143" s="24" t="s">
        <v>13</v>
      </c>
      <c r="F143" s="24" t="s">
        <v>73</v>
      </c>
      <c r="G143" s="24" t="n">
        <f aca="false">G138-0</f>
        <v>6.32</v>
      </c>
    </row>
    <row r="144" customFormat="false" ht="24.75" hidden="false" customHeight="true" outlineLevel="0" collapsed="false">
      <c r="A144" s="24"/>
      <c r="B144" s="21" t="s">
        <v>74</v>
      </c>
      <c r="C144" s="21" t="s">
        <v>75</v>
      </c>
      <c r="D144" s="24" t="s">
        <v>76</v>
      </c>
      <c r="E144" s="24" t="s">
        <v>34</v>
      </c>
      <c r="F144" s="24" t="s">
        <v>77</v>
      </c>
      <c r="G144" s="24" t="n">
        <f aca="false">G140</f>
        <v>9.97</v>
      </c>
    </row>
    <row r="145" customFormat="false" ht="24.75" hidden="false" customHeight="true" outlineLevel="0" collapsed="false">
      <c r="A145" s="27"/>
      <c r="B145" s="27" t="s">
        <v>78</v>
      </c>
      <c r="C145" s="27"/>
      <c r="D145" s="27"/>
      <c r="E145" s="27"/>
      <c r="F145" s="27"/>
      <c r="G145" s="27"/>
    </row>
    <row r="147" customFormat="false" ht="15" hidden="false" customHeight="false" outlineLevel="0" collapsed="false">
      <c r="A147" s="22" t="s">
        <v>50</v>
      </c>
      <c r="B147" s="22" t="s">
        <v>51</v>
      </c>
      <c r="C147" s="22" t="s">
        <v>2</v>
      </c>
      <c r="D147" s="22" t="s">
        <v>3</v>
      </c>
      <c r="E147" s="22" t="s">
        <v>4</v>
      </c>
      <c r="F147" s="22" t="s">
        <v>52</v>
      </c>
      <c r="G147" s="22" t="s">
        <v>53</v>
      </c>
    </row>
    <row r="148" customFormat="false" ht="17.15" hidden="false" customHeight="false" outlineLevel="0" collapsed="false">
      <c r="A148" s="15" t="s">
        <v>131</v>
      </c>
      <c r="C148" s="15" t="s">
        <v>55</v>
      </c>
      <c r="F148" s="23" t="s">
        <v>80</v>
      </c>
    </row>
    <row r="149" customFormat="false" ht="17.15" hidden="false" customHeight="false" outlineLevel="0" collapsed="false">
      <c r="A149" s="24" t="s">
        <v>57</v>
      </c>
      <c r="B149" s="24" t="s">
        <v>58</v>
      </c>
      <c r="C149" s="24"/>
      <c r="D149" s="24"/>
      <c r="E149" s="24"/>
      <c r="F149" s="24" t="s">
        <v>132</v>
      </c>
      <c r="G149" s="25" t="n">
        <v>17.47</v>
      </c>
    </row>
    <row r="150" customFormat="false" ht="17.15" hidden="false" customHeight="false" outlineLevel="0" collapsed="false">
      <c r="A150" s="24" t="s">
        <v>60</v>
      </c>
      <c r="B150" s="24" t="s">
        <v>61</v>
      </c>
      <c r="C150" s="24"/>
      <c r="D150" s="24"/>
      <c r="E150" s="24"/>
      <c r="F150" s="21" t="s">
        <v>62</v>
      </c>
      <c r="G150" s="26"/>
    </row>
    <row r="151" customFormat="false" ht="17.15" hidden="false" customHeight="false" outlineLevel="0" collapsed="false">
      <c r="A151" s="24" t="s">
        <v>63</v>
      </c>
      <c r="B151" s="24" t="s">
        <v>64</v>
      </c>
      <c r="C151" s="24"/>
      <c r="D151" s="24"/>
      <c r="E151" s="24"/>
      <c r="F151" s="21" t="s">
        <v>133</v>
      </c>
      <c r="G151" s="25" t="n">
        <v>14.75</v>
      </c>
    </row>
    <row r="152" customFormat="false" ht="17.15" hidden="false" customHeight="false" outlineLevel="0" collapsed="false">
      <c r="A152" s="24" t="s">
        <v>66</v>
      </c>
      <c r="B152" s="24" t="s">
        <v>67</v>
      </c>
      <c r="C152" s="24"/>
      <c r="D152" s="24"/>
      <c r="E152" s="24"/>
      <c r="F152" s="21" t="s">
        <v>68</v>
      </c>
      <c r="G152" s="24"/>
    </row>
    <row r="153" customFormat="false" ht="17.15" hidden="false" customHeight="false" outlineLevel="0" collapsed="false">
      <c r="A153" s="27"/>
      <c r="B153" s="27" t="s">
        <v>69</v>
      </c>
      <c r="C153" s="27"/>
      <c r="D153" s="27"/>
      <c r="E153" s="27"/>
      <c r="F153" s="27"/>
      <c r="G153" s="27"/>
    </row>
    <row r="154" customFormat="false" ht="24.75" hidden="false" customHeight="true" outlineLevel="0" collapsed="false">
      <c r="A154" s="24"/>
      <c r="B154" s="21" t="s">
        <v>70</v>
      </c>
      <c r="C154" s="21" t="s">
        <v>129</v>
      </c>
      <c r="D154" s="21" t="s">
        <v>130</v>
      </c>
      <c r="E154" s="24" t="s">
        <v>13</v>
      </c>
      <c r="F154" s="24" t="s">
        <v>73</v>
      </c>
      <c r="G154" s="24" t="n">
        <f aca="false">G149-0</f>
        <v>17.47</v>
      </c>
    </row>
    <row r="155" customFormat="false" ht="24.75" hidden="false" customHeight="true" outlineLevel="0" collapsed="false">
      <c r="A155" s="24"/>
      <c r="B155" s="21" t="s">
        <v>74</v>
      </c>
      <c r="C155" s="21" t="s">
        <v>75</v>
      </c>
      <c r="D155" s="24" t="s">
        <v>76</v>
      </c>
      <c r="E155" s="24" t="s">
        <v>34</v>
      </c>
      <c r="F155" s="24" t="s">
        <v>77</v>
      </c>
      <c r="G155" s="24" t="n">
        <f aca="false">G151</f>
        <v>14.75</v>
      </c>
    </row>
    <row r="156" customFormat="false" ht="24.75" hidden="false" customHeight="true" outlineLevel="0" collapsed="false">
      <c r="A156" s="27"/>
      <c r="B156" s="27" t="s">
        <v>78</v>
      </c>
      <c r="C156" s="27"/>
      <c r="D156" s="27"/>
      <c r="E156" s="27"/>
      <c r="F156" s="27"/>
      <c r="G156" s="27"/>
    </row>
    <row r="158" customFormat="false" ht="15" hidden="false" customHeight="false" outlineLevel="0" collapsed="false">
      <c r="A158" s="22" t="s">
        <v>50</v>
      </c>
      <c r="B158" s="22" t="s">
        <v>51</v>
      </c>
      <c r="C158" s="22" t="s">
        <v>2</v>
      </c>
      <c r="D158" s="22" t="s">
        <v>3</v>
      </c>
      <c r="E158" s="22" t="s">
        <v>4</v>
      </c>
      <c r="F158" s="22" t="s">
        <v>52</v>
      </c>
      <c r="G158" s="22" t="s">
        <v>53</v>
      </c>
    </row>
    <row r="159" customFormat="false" ht="17.15" hidden="false" customHeight="false" outlineLevel="0" collapsed="false">
      <c r="A159" s="15" t="s">
        <v>134</v>
      </c>
      <c r="C159" s="15" t="s">
        <v>55</v>
      </c>
      <c r="F159" s="23" t="s">
        <v>80</v>
      </c>
    </row>
    <row r="160" customFormat="false" ht="17.15" hidden="false" customHeight="false" outlineLevel="0" collapsed="false">
      <c r="A160" s="24" t="s">
        <v>57</v>
      </c>
      <c r="B160" s="24" t="s">
        <v>58</v>
      </c>
      <c r="C160" s="24"/>
      <c r="D160" s="24"/>
      <c r="E160" s="24"/>
      <c r="F160" s="24" t="s">
        <v>135</v>
      </c>
      <c r="G160" s="25" t="n">
        <v>24.82</v>
      </c>
    </row>
    <row r="161" customFormat="false" ht="17.15" hidden="false" customHeight="false" outlineLevel="0" collapsed="false">
      <c r="A161" s="24" t="s">
        <v>60</v>
      </c>
      <c r="B161" s="24" t="s">
        <v>61</v>
      </c>
      <c r="C161" s="24"/>
      <c r="D161" s="24"/>
      <c r="E161" s="24"/>
      <c r="F161" s="24" t="s">
        <v>136</v>
      </c>
      <c r="G161" s="26" t="n">
        <f aca="false">ROUND(2*(12.41+2),3)</f>
        <v>28.82</v>
      </c>
    </row>
    <row r="162" customFormat="false" ht="17.15" hidden="false" customHeight="false" outlineLevel="0" collapsed="false">
      <c r="A162" s="24" t="s">
        <v>63</v>
      </c>
      <c r="B162" s="24" t="s">
        <v>64</v>
      </c>
      <c r="C162" s="24"/>
      <c r="D162" s="24"/>
      <c r="E162" s="24"/>
      <c r="F162" s="21" t="s">
        <v>137</v>
      </c>
      <c r="G162" s="25" t="n">
        <v>11.2</v>
      </c>
    </row>
    <row r="163" customFormat="false" ht="17.15" hidden="false" customHeight="false" outlineLevel="0" collapsed="false">
      <c r="A163" s="24" t="s">
        <v>66</v>
      </c>
      <c r="B163" s="24" t="s">
        <v>67</v>
      </c>
      <c r="C163" s="24"/>
      <c r="D163" s="24"/>
      <c r="E163" s="24"/>
      <c r="F163" s="21" t="s">
        <v>68</v>
      </c>
      <c r="G163" s="24"/>
    </row>
    <row r="164" customFormat="false" ht="17.15" hidden="false" customHeight="false" outlineLevel="0" collapsed="false">
      <c r="A164" s="27"/>
      <c r="B164" s="27" t="s">
        <v>69</v>
      </c>
      <c r="C164" s="27"/>
      <c r="D164" s="27"/>
      <c r="E164" s="27"/>
      <c r="F164" s="27"/>
      <c r="G164" s="27"/>
    </row>
    <row r="165" customFormat="false" ht="24.75" hidden="false" customHeight="true" outlineLevel="0" collapsed="false">
      <c r="A165" s="24"/>
      <c r="B165" s="21" t="s">
        <v>70</v>
      </c>
      <c r="C165" s="21" t="s">
        <v>129</v>
      </c>
      <c r="D165" s="21" t="s">
        <v>130</v>
      </c>
      <c r="E165" s="24" t="s">
        <v>13</v>
      </c>
      <c r="F165" s="24" t="s">
        <v>73</v>
      </c>
      <c r="G165" s="24" t="n">
        <f aca="false">G160-0</f>
        <v>24.82</v>
      </c>
    </row>
    <row r="166" customFormat="false" ht="24.75" hidden="false" customHeight="true" outlineLevel="0" collapsed="false">
      <c r="A166" s="24"/>
      <c r="B166" s="21" t="s">
        <v>74</v>
      </c>
      <c r="C166" s="21" t="s">
        <v>75</v>
      </c>
      <c r="D166" s="24" t="s">
        <v>76</v>
      </c>
      <c r="E166" s="24" t="s">
        <v>34</v>
      </c>
      <c r="F166" s="24" t="s">
        <v>77</v>
      </c>
      <c r="G166" s="24" t="n">
        <f aca="false">G162</f>
        <v>11.2</v>
      </c>
    </row>
    <row r="167" customFormat="false" ht="24.75" hidden="false" customHeight="true" outlineLevel="0" collapsed="false">
      <c r="A167" s="27"/>
      <c r="B167" s="27" t="s">
        <v>78</v>
      </c>
      <c r="C167" s="27"/>
      <c r="D167" s="27"/>
      <c r="E167" s="27"/>
      <c r="F167" s="27"/>
      <c r="G167" s="27"/>
    </row>
    <row r="169" customFormat="false" ht="15" hidden="false" customHeight="false" outlineLevel="0" collapsed="false">
      <c r="A169" s="22" t="s">
        <v>50</v>
      </c>
      <c r="B169" s="22" t="s">
        <v>51</v>
      </c>
      <c r="C169" s="22" t="s">
        <v>2</v>
      </c>
      <c r="D169" s="22" t="s">
        <v>3</v>
      </c>
      <c r="E169" s="22" t="s">
        <v>4</v>
      </c>
      <c r="F169" s="22" t="s">
        <v>52</v>
      </c>
      <c r="G169" s="22" t="s">
        <v>53</v>
      </c>
    </row>
    <row r="170" customFormat="false" ht="17.15" hidden="false" customHeight="false" outlineLevel="0" collapsed="false">
      <c r="A170" s="15" t="s">
        <v>138</v>
      </c>
      <c r="C170" s="15" t="s">
        <v>55</v>
      </c>
      <c r="F170" s="23" t="s">
        <v>80</v>
      </c>
    </row>
    <row r="171" customFormat="false" ht="17.15" hidden="false" customHeight="false" outlineLevel="0" collapsed="false">
      <c r="A171" s="24" t="s">
        <v>57</v>
      </c>
      <c r="B171" s="24" t="s">
        <v>58</v>
      </c>
      <c r="C171" s="24"/>
      <c r="D171" s="24"/>
      <c r="E171" s="24"/>
      <c r="F171" s="24" t="s">
        <v>139</v>
      </c>
      <c r="G171" s="25" t="n">
        <v>11.84</v>
      </c>
    </row>
    <row r="172" customFormat="false" ht="17.15" hidden="false" customHeight="false" outlineLevel="0" collapsed="false">
      <c r="A172" s="24" t="s">
        <v>60</v>
      </c>
      <c r="B172" s="24" t="s">
        <v>61</v>
      </c>
      <c r="C172" s="24"/>
      <c r="D172" s="24"/>
      <c r="E172" s="24"/>
      <c r="F172" s="24" t="s">
        <v>140</v>
      </c>
      <c r="G172" s="26" t="n">
        <f aca="false">ROUND(2*(1.6+7.4),3)</f>
        <v>18</v>
      </c>
    </row>
    <row r="173" customFormat="false" ht="17.15" hidden="false" customHeight="false" outlineLevel="0" collapsed="false">
      <c r="A173" s="24" t="s">
        <v>63</v>
      </c>
      <c r="B173" s="24" t="s">
        <v>64</v>
      </c>
      <c r="C173" s="24"/>
      <c r="D173" s="24"/>
      <c r="E173" s="24"/>
      <c r="F173" s="21" t="s">
        <v>141</v>
      </c>
      <c r="G173" s="25" t="n">
        <v>6.5</v>
      </c>
    </row>
    <row r="174" customFormat="false" ht="17.15" hidden="false" customHeight="false" outlineLevel="0" collapsed="false">
      <c r="A174" s="24" t="s">
        <v>66</v>
      </c>
      <c r="B174" s="24" t="s">
        <v>67</v>
      </c>
      <c r="C174" s="24"/>
      <c r="D174" s="24"/>
      <c r="E174" s="24"/>
      <c r="F174" s="21" t="s">
        <v>68</v>
      </c>
      <c r="G174" s="24"/>
    </row>
    <row r="175" customFormat="false" ht="17.15" hidden="false" customHeight="false" outlineLevel="0" collapsed="false">
      <c r="A175" s="27"/>
      <c r="B175" s="27" t="s">
        <v>69</v>
      </c>
      <c r="C175" s="27"/>
      <c r="D175" s="27"/>
      <c r="E175" s="27"/>
      <c r="F175" s="27"/>
      <c r="G175" s="27"/>
    </row>
    <row r="176" customFormat="false" ht="24.75" hidden="false" customHeight="true" outlineLevel="0" collapsed="false">
      <c r="A176" s="24"/>
      <c r="B176" s="21" t="s">
        <v>70</v>
      </c>
      <c r="C176" s="21" t="s">
        <v>129</v>
      </c>
      <c r="D176" s="21" t="s">
        <v>130</v>
      </c>
      <c r="E176" s="24" t="s">
        <v>13</v>
      </c>
      <c r="F176" s="24" t="s">
        <v>73</v>
      </c>
      <c r="G176" s="24" t="n">
        <f aca="false">G171-0</f>
        <v>11.84</v>
      </c>
    </row>
    <row r="177" customFormat="false" ht="24.75" hidden="false" customHeight="true" outlineLevel="0" collapsed="false">
      <c r="A177" s="24"/>
      <c r="B177" s="21" t="s">
        <v>74</v>
      </c>
      <c r="C177" s="21" t="s">
        <v>75</v>
      </c>
      <c r="D177" s="24" t="s">
        <v>76</v>
      </c>
      <c r="E177" s="24" t="s">
        <v>34</v>
      </c>
      <c r="F177" s="24" t="s">
        <v>77</v>
      </c>
      <c r="G177" s="24" t="n">
        <f aca="false">G173</f>
        <v>6.5</v>
      </c>
    </row>
    <row r="178" customFormat="false" ht="24.75" hidden="false" customHeight="true" outlineLevel="0" collapsed="false">
      <c r="A178" s="27"/>
      <c r="B178" s="27" t="s">
        <v>78</v>
      </c>
      <c r="C178" s="27"/>
      <c r="D178" s="27"/>
      <c r="E178" s="27"/>
      <c r="F178" s="27"/>
      <c r="G178" s="27"/>
    </row>
    <row r="180" customFormat="false" ht="15" hidden="false" customHeight="false" outlineLevel="0" collapsed="false">
      <c r="A180" s="22" t="s">
        <v>50</v>
      </c>
      <c r="B180" s="22" t="s">
        <v>51</v>
      </c>
      <c r="C180" s="22" t="s">
        <v>2</v>
      </c>
      <c r="D180" s="22" t="s">
        <v>3</v>
      </c>
      <c r="E180" s="22" t="s">
        <v>4</v>
      </c>
      <c r="F180" s="22" t="s">
        <v>52</v>
      </c>
      <c r="G180" s="22" t="s">
        <v>53</v>
      </c>
    </row>
    <row r="181" customFormat="false" ht="17.15" hidden="false" customHeight="false" outlineLevel="0" collapsed="false">
      <c r="A181" s="15" t="s">
        <v>142</v>
      </c>
      <c r="C181" s="15" t="s">
        <v>55</v>
      </c>
      <c r="F181" s="23" t="s">
        <v>80</v>
      </c>
    </row>
    <row r="182" customFormat="false" ht="17.15" hidden="false" customHeight="false" outlineLevel="0" collapsed="false">
      <c r="A182" s="24" t="s">
        <v>57</v>
      </c>
      <c r="B182" s="24" t="s">
        <v>58</v>
      </c>
      <c r="C182" s="24"/>
      <c r="D182" s="24"/>
      <c r="E182" s="24"/>
      <c r="F182" s="24" t="s">
        <v>143</v>
      </c>
      <c r="G182" s="25" t="n">
        <v>27.71</v>
      </c>
    </row>
    <row r="183" customFormat="false" ht="17.15" hidden="false" customHeight="false" outlineLevel="0" collapsed="false">
      <c r="A183" s="24" t="s">
        <v>60</v>
      </c>
      <c r="B183" s="24" t="s">
        <v>61</v>
      </c>
      <c r="C183" s="24"/>
      <c r="D183" s="24"/>
      <c r="E183" s="24"/>
      <c r="F183" s="21" t="s">
        <v>62</v>
      </c>
      <c r="G183" s="26"/>
    </row>
    <row r="184" customFormat="false" ht="17.15" hidden="false" customHeight="false" outlineLevel="0" collapsed="false">
      <c r="A184" s="24" t="s">
        <v>63</v>
      </c>
      <c r="B184" s="24" t="s">
        <v>64</v>
      </c>
      <c r="C184" s="24"/>
      <c r="D184" s="24"/>
      <c r="E184" s="24"/>
      <c r="F184" s="21" t="s">
        <v>144</v>
      </c>
      <c r="G184" s="25" t="n">
        <v>20.3</v>
      </c>
    </row>
    <row r="185" customFormat="false" ht="17.15" hidden="false" customHeight="false" outlineLevel="0" collapsed="false">
      <c r="A185" s="24" t="s">
        <v>66</v>
      </c>
      <c r="B185" s="24" t="s">
        <v>67</v>
      </c>
      <c r="C185" s="24"/>
      <c r="D185" s="24"/>
      <c r="E185" s="24"/>
      <c r="F185" s="21" t="s">
        <v>68</v>
      </c>
      <c r="G185" s="24"/>
    </row>
    <row r="186" customFormat="false" ht="17.15" hidden="false" customHeight="false" outlineLevel="0" collapsed="false">
      <c r="A186" s="27"/>
      <c r="B186" s="27" t="s">
        <v>69</v>
      </c>
      <c r="C186" s="27"/>
      <c r="D186" s="27"/>
      <c r="E186" s="27"/>
      <c r="F186" s="27"/>
      <c r="G186" s="27"/>
    </row>
    <row r="187" customFormat="false" ht="24.75" hidden="false" customHeight="true" outlineLevel="0" collapsed="false">
      <c r="A187" s="24"/>
      <c r="B187" s="21" t="s">
        <v>70</v>
      </c>
      <c r="C187" s="21" t="s">
        <v>129</v>
      </c>
      <c r="D187" s="21" t="s">
        <v>130</v>
      </c>
      <c r="E187" s="24" t="s">
        <v>13</v>
      </c>
      <c r="F187" s="24" t="s">
        <v>73</v>
      </c>
      <c r="G187" s="24" t="n">
        <f aca="false">G182-0</f>
        <v>27.71</v>
      </c>
    </row>
    <row r="188" customFormat="false" ht="24.75" hidden="false" customHeight="true" outlineLevel="0" collapsed="false">
      <c r="A188" s="24"/>
      <c r="B188" s="21" t="s">
        <v>74</v>
      </c>
      <c r="C188" s="21" t="s">
        <v>75</v>
      </c>
      <c r="D188" s="24" t="s">
        <v>76</v>
      </c>
      <c r="E188" s="24" t="s">
        <v>34</v>
      </c>
      <c r="F188" s="24" t="s">
        <v>77</v>
      </c>
      <c r="G188" s="24" t="n">
        <f aca="false">G184</f>
        <v>20.3</v>
      </c>
    </row>
    <row r="189" customFormat="false" ht="24.75" hidden="false" customHeight="true" outlineLevel="0" collapsed="false">
      <c r="A189" s="27"/>
      <c r="B189" s="27" t="s">
        <v>78</v>
      </c>
      <c r="C189" s="27"/>
      <c r="D189" s="27"/>
      <c r="E189" s="27"/>
      <c r="F189" s="27"/>
      <c r="G189" s="27"/>
    </row>
    <row r="191" customFormat="false" ht="15" hidden="false" customHeight="false" outlineLevel="0" collapsed="false">
      <c r="A191" s="22" t="s">
        <v>50</v>
      </c>
      <c r="B191" s="22" t="s">
        <v>51</v>
      </c>
      <c r="C191" s="22" t="s">
        <v>2</v>
      </c>
      <c r="D191" s="22" t="s">
        <v>3</v>
      </c>
      <c r="E191" s="22" t="s">
        <v>4</v>
      </c>
      <c r="F191" s="22" t="s">
        <v>52</v>
      </c>
      <c r="G191" s="22" t="s">
        <v>53</v>
      </c>
    </row>
    <row r="192" customFormat="false" ht="17.15" hidden="false" customHeight="false" outlineLevel="0" collapsed="false">
      <c r="A192" s="15" t="s">
        <v>145</v>
      </c>
      <c r="C192" s="15" t="s">
        <v>55</v>
      </c>
      <c r="F192" s="23" t="s">
        <v>56</v>
      </c>
    </row>
    <row r="193" customFormat="false" ht="17.15" hidden="false" customHeight="false" outlineLevel="0" collapsed="false">
      <c r="A193" s="24" t="s">
        <v>57</v>
      </c>
      <c r="B193" s="24" t="s">
        <v>58</v>
      </c>
      <c r="C193" s="24"/>
      <c r="D193" s="24"/>
      <c r="E193" s="24"/>
      <c r="F193" s="24" t="s">
        <v>146</v>
      </c>
      <c r="G193" s="25" t="n">
        <v>25.02</v>
      </c>
    </row>
    <row r="194" customFormat="false" ht="17.15" hidden="false" customHeight="false" outlineLevel="0" collapsed="false">
      <c r="A194" s="24" t="s">
        <v>60</v>
      </c>
      <c r="B194" s="24" t="s">
        <v>61</v>
      </c>
      <c r="C194" s="24"/>
      <c r="D194" s="24"/>
      <c r="E194" s="24"/>
      <c r="F194" s="24" t="s">
        <v>147</v>
      </c>
      <c r="G194" s="26" t="n">
        <f aca="false">ROUND(2*(3.49+7.17),3)</f>
        <v>21.32</v>
      </c>
    </row>
    <row r="195" customFormat="false" ht="17.15" hidden="false" customHeight="false" outlineLevel="0" collapsed="false">
      <c r="A195" s="24" t="s">
        <v>63</v>
      </c>
      <c r="B195" s="24" t="s">
        <v>64</v>
      </c>
      <c r="C195" s="24"/>
      <c r="D195" s="24"/>
      <c r="E195" s="24"/>
      <c r="F195" s="21" t="s">
        <v>148</v>
      </c>
      <c r="G195" s="25" t="n">
        <v>6.98</v>
      </c>
    </row>
    <row r="196" customFormat="false" ht="17.15" hidden="false" customHeight="false" outlineLevel="0" collapsed="false">
      <c r="A196" s="24" t="s">
        <v>66</v>
      </c>
      <c r="B196" s="24" t="s">
        <v>67</v>
      </c>
      <c r="C196" s="24"/>
      <c r="D196" s="24"/>
      <c r="E196" s="24"/>
      <c r="F196" s="21" t="s">
        <v>68</v>
      </c>
      <c r="G196" s="24"/>
    </row>
    <row r="197" customFormat="false" ht="17.15" hidden="false" customHeight="false" outlineLevel="0" collapsed="false">
      <c r="A197" s="27"/>
      <c r="B197" s="27" t="s">
        <v>69</v>
      </c>
      <c r="C197" s="27"/>
      <c r="D197" s="27"/>
      <c r="E197" s="27"/>
      <c r="F197" s="27"/>
      <c r="G197" s="27"/>
    </row>
    <row r="198" customFormat="false" ht="24.75" hidden="false" customHeight="true" outlineLevel="0" collapsed="false">
      <c r="A198" s="24"/>
      <c r="B198" s="21" t="s">
        <v>70</v>
      </c>
      <c r="C198" s="21" t="s">
        <v>129</v>
      </c>
      <c r="D198" s="21" t="s">
        <v>130</v>
      </c>
      <c r="E198" s="24" t="s">
        <v>13</v>
      </c>
      <c r="F198" s="24" t="s">
        <v>73</v>
      </c>
      <c r="G198" s="24" t="n">
        <f aca="false">G193-0</f>
        <v>25.02</v>
      </c>
    </row>
    <row r="199" customFormat="false" ht="24.75" hidden="false" customHeight="true" outlineLevel="0" collapsed="false">
      <c r="A199" s="24"/>
      <c r="B199" s="21" t="s">
        <v>74</v>
      </c>
      <c r="C199" s="21" t="s">
        <v>75</v>
      </c>
      <c r="D199" s="24" t="s">
        <v>76</v>
      </c>
      <c r="E199" s="24" t="s">
        <v>34</v>
      </c>
      <c r="F199" s="24" t="s">
        <v>77</v>
      </c>
      <c r="G199" s="24" t="n">
        <f aca="false">G195</f>
        <v>6.98</v>
      </c>
    </row>
    <row r="200" customFormat="false" ht="24.75" hidden="false" customHeight="true" outlineLevel="0" collapsed="false">
      <c r="A200" s="27"/>
      <c r="B200" s="27" t="s">
        <v>78</v>
      </c>
      <c r="C200" s="27"/>
      <c r="D200" s="27"/>
      <c r="E200" s="27"/>
      <c r="F200" s="27"/>
      <c r="G200" s="27"/>
    </row>
    <row r="202" customFormat="false" ht="15" hidden="false" customHeight="false" outlineLevel="0" collapsed="false">
      <c r="A202" s="22" t="s">
        <v>50</v>
      </c>
      <c r="B202" s="22" t="s">
        <v>51</v>
      </c>
      <c r="C202" s="22" t="s">
        <v>2</v>
      </c>
      <c r="D202" s="22" t="s">
        <v>3</v>
      </c>
      <c r="E202" s="22" t="s">
        <v>4</v>
      </c>
      <c r="F202" s="22" t="s">
        <v>52</v>
      </c>
      <c r="G202" s="22" t="s">
        <v>53</v>
      </c>
    </row>
    <row r="203" customFormat="false" ht="17.15" hidden="false" customHeight="false" outlineLevel="0" collapsed="false">
      <c r="A203" s="15" t="s">
        <v>149</v>
      </c>
      <c r="C203" s="15" t="s">
        <v>55</v>
      </c>
      <c r="F203" s="23" t="s">
        <v>56</v>
      </c>
    </row>
    <row r="204" customFormat="false" ht="17.15" hidden="false" customHeight="false" outlineLevel="0" collapsed="false">
      <c r="A204" s="24" t="s">
        <v>57</v>
      </c>
      <c r="B204" s="24" t="s">
        <v>58</v>
      </c>
      <c r="C204" s="24"/>
      <c r="D204" s="24"/>
      <c r="E204" s="24"/>
      <c r="F204" s="24" t="s">
        <v>150</v>
      </c>
      <c r="G204" s="25" t="n">
        <v>162.93</v>
      </c>
    </row>
    <row r="205" customFormat="false" ht="17.15" hidden="false" customHeight="false" outlineLevel="0" collapsed="false">
      <c r="A205" s="24" t="s">
        <v>60</v>
      </c>
      <c r="B205" s="24" t="s">
        <v>61</v>
      </c>
      <c r="C205" s="24"/>
      <c r="D205" s="24"/>
      <c r="E205" s="24"/>
      <c r="F205" s="21" t="s">
        <v>62</v>
      </c>
      <c r="G205" s="26"/>
    </row>
    <row r="206" customFormat="false" ht="17.15" hidden="false" customHeight="false" outlineLevel="0" collapsed="false">
      <c r="A206" s="24" t="s">
        <v>63</v>
      </c>
      <c r="B206" s="24" t="s">
        <v>64</v>
      </c>
      <c r="C206" s="24"/>
      <c r="D206" s="24"/>
      <c r="E206" s="24"/>
      <c r="F206" s="21" t="s">
        <v>151</v>
      </c>
      <c r="G206" s="25" t="n">
        <v>37.1</v>
      </c>
    </row>
    <row r="207" customFormat="false" ht="17.15" hidden="false" customHeight="false" outlineLevel="0" collapsed="false">
      <c r="A207" s="24" t="s">
        <v>66</v>
      </c>
      <c r="B207" s="24" t="s">
        <v>67</v>
      </c>
      <c r="C207" s="24"/>
      <c r="D207" s="24"/>
      <c r="E207" s="24"/>
      <c r="F207" s="21" t="s">
        <v>68</v>
      </c>
      <c r="G207" s="24"/>
    </row>
    <row r="208" customFormat="false" ht="17.15" hidden="false" customHeight="false" outlineLevel="0" collapsed="false">
      <c r="A208" s="27"/>
      <c r="B208" s="27" t="s">
        <v>69</v>
      </c>
      <c r="C208" s="27"/>
      <c r="D208" s="27"/>
      <c r="E208" s="27"/>
      <c r="F208" s="27"/>
      <c r="G208" s="27"/>
    </row>
    <row r="209" customFormat="false" ht="24.75" hidden="false" customHeight="true" outlineLevel="0" collapsed="false">
      <c r="A209" s="24"/>
      <c r="B209" s="21" t="s">
        <v>70</v>
      </c>
      <c r="C209" s="21" t="s">
        <v>152</v>
      </c>
      <c r="D209" s="21" t="s">
        <v>130</v>
      </c>
      <c r="E209" s="24" t="s">
        <v>13</v>
      </c>
      <c r="F209" s="24" t="s">
        <v>73</v>
      </c>
      <c r="G209" s="24" t="n">
        <f aca="false">G204-0</f>
        <v>162.93</v>
      </c>
    </row>
    <row r="210" customFormat="false" ht="24.75" hidden="false" customHeight="true" outlineLevel="0" collapsed="false">
      <c r="A210" s="24"/>
      <c r="B210" s="21" t="s">
        <v>74</v>
      </c>
      <c r="C210" s="21" t="s">
        <v>75</v>
      </c>
      <c r="D210" s="24" t="s">
        <v>76</v>
      </c>
      <c r="E210" s="24" t="s">
        <v>34</v>
      </c>
      <c r="F210" s="24" t="s">
        <v>77</v>
      </c>
      <c r="G210" s="24" t="n">
        <f aca="false">G206</f>
        <v>37.1</v>
      </c>
    </row>
    <row r="211" customFormat="false" ht="24.75" hidden="false" customHeight="true" outlineLevel="0" collapsed="false">
      <c r="A211" s="27"/>
      <c r="B211" s="27" t="s">
        <v>78</v>
      </c>
      <c r="C211" s="27"/>
      <c r="D211" s="27"/>
      <c r="E211" s="27"/>
      <c r="F211" s="27"/>
      <c r="G211" s="27"/>
    </row>
    <row r="213" customFormat="false" ht="15" hidden="false" customHeight="false" outlineLevel="0" collapsed="false">
      <c r="A213" s="22" t="s">
        <v>50</v>
      </c>
      <c r="B213" s="22" t="s">
        <v>51</v>
      </c>
      <c r="C213" s="22" t="s">
        <v>2</v>
      </c>
      <c r="D213" s="22" t="s">
        <v>3</v>
      </c>
      <c r="E213" s="22" t="s">
        <v>4</v>
      </c>
      <c r="F213" s="22" t="s">
        <v>52</v>
      </c>
      <c r="G213" s="22" t="s">
        <v>53</v>
      </c>
    </row>
    <row r="214" customFormat="false" ht="17.15" hidden="false" customHeight="false" outlineLevel="0" collapsed="false">
      <c r="A214" s="15" t="s">
        <v>153</v>
      </c>
      <c r="C214" s="15" t="s">
        <v>55</v>
      </c>
      <c r="F214" s="23" t="s">
        <v>56</v>
      </c>
    </row>
    <row r="215" customFormat="false" ht="17.15" hidden="false" customHeight="false" outlineLevel="0" collapsed="false">
      <c r="A215" s="24" t="s">
        <v>57</v>
      </c>
      <c r="B215" s="24" t="s">
        <v>58</v>
      </c>
      <c r="C215" s="24"/>
      <c r="D215" s="24"/>
      <c r="E215" s="24"/>
      <c r="F215" s="24" t="s">
        <v>154</v>
      </c>
      <c r="G215" s="25" t="n">
        <v>142.55</v>
      </c>
    </row>
    <row r="216" customFormat="false" ht="17.15" hidden="false" customHeight="false" outlineLevel="0" collapsed="false">
      <c r="A216" s="24" t="s">
        <v>60</v>
      </c>
      <c r="B216" s="24" t="s">
        <v>61</v>
      </c>
      <c r="C216" s="24"/>
      <c r="D216" s="24"/>
      <c r="E216" s="24"/>
      <c r="F216" s="21" t="s">
        <v>62</v>
      </c>
      <c r="G216" s="26"/>
    </row>
    <row r="217" customFormat="false" ht="17.15" hidden="false" customHeight="false" outlineLevel="0" collapsed="false">
      <c r="A217" s="24" t="s">
        <v>63</v>
      </c>
      <c r="B217" s="24" t="s">
        <v>64</v>
      </c>
      <c r="C217" s="24"/>
      <c r="D217" s="24"/>
      <c r="E217" s="24"/>
      <c r="F217" s="21" t="s">
        <v>155</v>
      </c>
      <c r="G217" s="25" t="n">
        <v>30</v>
      </c>
    </row>
    <row r="218" customFormat="false" ht="17.15" hidden="false" customHeight="false" outlineLevel="0" collapsed="false">
      <c r="A218" s="24" t="s">
        <v>66</v>
      </c>
      <c r="B218" s="24" t="s">
        <v>67</v>
      </c>
      <c r="C218" s="24"/>
      <c r="D218" s="24"/>
      <c r="E218" s="24"/>
      <c r="F218" s="21" t="s">
        <v>68</v>
      </c>
      <c r="G218" s="24"/>
    </row>
    <row r="219" customFormat="false" ht="17.15" hidden="false" customHeight="false" outlineLevel="0" collapsed="false">
      <c r="A219" s="27"/>
      <c r="B219" s="27" t="s">
        <v>69</v>
      </c>
      <c r="C219" s="27"/>
      <c r="D219" s="27"/>
      <c r="E219" s="27"/>
      <c r="F219" s="27"/>
      <c r="G219" s="27"/>
    </row>
    <row r="220" customFormat="false" ht="24.75" hidden="false" customHeight="true" outlineLevel="0" collapsed="false">
      <c r="A220" s="24"/>
      <c r="B220" s="21" t="s">
        <v>70</v>
      </c>
      <c r="C220" s="21" t="s">
        <v>152</v>
      </c>
      <c r="D220" s="21" t="s">
        <v>130</v>
      </c>
      <c r="E220" s="24" t="s">
        <v>13</v>
      </c>
      <c r="F220" s="24" t="s">
        <v>73</v>
      </c>
      <c r="G220" s="24" t="n">
        <f aca="false">G215-0</f>
        <v>142.55</v>
      </c>
    </row>
    <row r="221" customFormat="false" ht="24.75" hidden="false" customHeight="true" outlineLevel="0" collapsed="false">
      <c r="A221" s="24"/>
      <c r="B221" s="21" t="s">
        <v>74</v>
      </c>
      <c r="C221" s="21" t="s">
        <v>75</v>
      </c>
      <c r="D221" s="24" t="s">
        <v>76</v>
      </c>
      <c r="E221" s="24" t="s">
        <v>34</v>
      </c>
      <c r="F221" s="24" t="s">
        <v>77</v>
      </c>
      <c r="G221" s="24" t="n">
        <f aca="false">G217</f>
        <v>30</v>
      </c>
    </row>
    <row r="222" customFormat="false" ht="24.75" hidden="false" customHeight="true" outlineLevel="0" collapsed="false">
      <c r="A222" s="27"/>
      <c r="B222" s="27" t="s">
        <v>78</v>
      </c>
      <c r="C222" s="27"/>
      <c r="D222" s="27"/>
      <c r="E222" s="27"/>
      <c r="F222" s="27"/>
      <c r="G222" s="27"/>
    </row>
    <row r="224" customFormat="false" ht="15" hidden="false" customHeight="false" outlineLevel="0" collapsed="false">
      <c r="A224" s="22" t="s">
        <v>50</v>
      </c>
      <c r="B224" s="22" t="s">
        <v>51</v>
      </c>
      <c r="C224" s="22" t="s">
        <v>2</v>
      </c>
      <c r="D224" s="22" t="s">
        <v>3</v>
      </c>
      <c r="E224" s="22" t="s">
        <v>4</v>
      </c>
      <c r="F224" s="22" t="s">
        <v>52</v>
      </c>
      <c r="G224" s="22" t="s">
        <v>53</v>
      </c>
    </row>
    <row r="225" customFormat="false" ht="17.15" hidden="false" customHeight="false" outlineLevel="0" collapsed="false">
      <c r="A225" s="15" t="s">
        <v>156</v>
      </c>
      <c r="C225" s="15" t="s">
        <v>55</v>
      </c>
      <c r="F225" s="23" t="s">
        <v>56</v>
      </c>
    </row>
    <row r="226" customFormat="false" ht="17.15" hidden="false" customHeight="false" outlineLevel="0" collapsed="false">
      <c r="A226" s="24" t="s">
        <v>57</v>
      </c>
      <c r="B226" s="24" t="s">
        <v>58</v>
      </c>
      <c r="C226" s="24"/>
      <c r="D226" s="24"/>
      <c r="E226" s="24"/>
      <c r="F226" s="24" t="s">
        <v>157</v>
      </c>
      <c r="G226" s="25" t="n">
        <v>30.16</v>
      </c>
    </row>
    <row r="227" customFormat="false" ht="17.15" hidden="false" customHeight="false" outlineLevel="0" collapsed="false">
      <c r="A227" s="24" t="s">
        <v>60</v>
      </c>
      <c r="B227" s="24" t="s">
        <v>61</v>
      </c>
      <c r="C227" s="24"/>
      <c r="D227" s="24"/>
      <c r="E227" s="24"/>
      <c r="F227" s="21" t="s">
        <v>62</v>
      </c>
      <c r="G227" s="26"/>
    </row>
    <row r="228" customFormat="false" ht="17.15" hidden="false" customHeight="false" outlineLevel="0" collapsed="false">
      <c r="A228" s="24" t="s">
        <v>63</v>
      </c>
      <c r="B228" s="24" t="s">
        <v>64</v>
      </c>
      <c r="C228" s="24"/>
      <c r="D228" s="24"/>
      <c r="E228" s="24"/>
      <c r="F228" s="21" t="s">
        <v>158</v>
      </c>
      <c r="G228" s="25" t="n">
        <v>17.6</v>
      </c>
    </row>
    <row r="229" customFormat="false" ht="17.15" hidden="false" customHeight="false" outlineLevel="0" collapsed="false">
      <c r="A229" s="24" t="s">
        <v>66</v>
      </c>
      <c r="B229" s="24" t="s">
        <v>67</v>
      </c>
      <c r="C229" s="24"/>
      <c r="D229" s="24"/>
      <c r="E229" s="24"/>
      <c r="F229" s="21" t="s">
        <v>68</v>
      </c>
      <c r="G229" s="24"/>
    </row>
    <row r="230" customFormat="false" ht="17.15" hidden="false" customHeight="false" outlineLevel="0" collapsed="false">
      <c r="A230" s="27"/>
      <c r="B230" s="27" t="s">
        <v>69</v>
      </c>
      <c r="C230" s="27"/>
      <c r="D230" s="27"/>
      <c r="E230" s="27"/>
      <c r="F230" s="27"/>
      <c r="G230" s="27"/>
    </row>
    <row r="231" customFormat="false" ht="24.75" hidden="false" customHeight="true" outlineLevel="0" collapsed="false">
      <c r="A231" s="24"/>
      <c r="B231" s="21" t="s">
        <v>70</v>
      </c>
      <c r="C231" s="21" t="s">
        <v>71</v>
      </c>
      <c r="D231" s="21" t="s">
        <v>72</v>
      </c>
      <c r="E231" s="24" t="s">
        <v>13</v>
      </c>
      <c r="F231" s="24" t="s">
        <v>73</v>
      </c>
      <c r="G231" s="24" t="n">
        <f aca="false">G226-0</f>
        <v>30.16</v>
      </c>
    </row>
    <row r="232" customFormat="false" ht="24.75" hidden="false" customHeight="true" outlineLevel="0" collapsed="false">
      <c r="A232" s="24"/>
      <c r="B232" s="21" t="s">
        <v>74</v>
      </c>
      <c r="C232" s="21" t="s">
        <v>75</v>
      </c>
      <c r="D232" s="24" t="s">
        <v>76</v>
      </c>
      <c r="E232" s="24" t="s">
        <v>34</v>
      </c>
      <c r="F232" s="24" t="s">
        <v>77</v>
      </c>
      <c r="G232" s="24" t="n">
        <f aca="false">G228</f>
        <v>17.6</v>
      </c>
    </row>
    <row r="233" customFormat="false" ht="24.75" hidden="false" customHeight="true" outlineLevel="0" collapsed="false">
      <c r="A233" s="27"/>
      <c r="B233" s="27" t="s">
        <v>78</v>
      </c>
      <c r="C233" s="27"/>
      <c r="D233" s="27"/>
      <c r="E233" s="27"/>
      <c r="F233" s="27"/>
      <c r="G233" s="27"/>
    </row>
    <row r="235" customFormat="false" ht="15" hidden="false" customHeight="false" outlineLevel="0" collapsed="false">
      <c r="A235" s="22" t="s">
        <v>50</v>
      </c>
      <c r="B235" s="22" t="s">
        <v>51</v>
      </c>
      <c r="C235" s="22" t="s">
        <v>2</v>
      </c>
      <c r="D235" s="22" t="s">
        <v>3</v>
      </c>
      <c r="E235" s="22" t="s">
        <v>4</v>
      </c>
      <c r="F235" s="22" t="s">
        <v>52</v>
      </c>
      <c r="G235" s="22" t="s">
        <v>53</v>
      </c>
    </row>
    <row r="236" customFormat="false" ht="17.15" hidden="false" customHeight="false" outlineLevel="0" collapsed="false">
      <c r="A236" s="15" t="s">
        <v>159</v>
      </c>
      <c r="C236" s="15" t="s">
        <v>55</v>
      </c>
      <c r="F236" s="23" t="s">
        <v>80</v>
      </c>
    </row>
    <row r="237" customFormat="false" ht="17.15" hidden="false" customHeight="false" outlineLevel="0" collapsed="false">
      <c r="A237" s="24" t="s">
        <v>57</v>
      </c>
      <c r="B237" s="24" t="s">
        <v>58</v>
      </c>
      <c r="C237" s="24"/>
      <c r="D237" s="24"/>
      <c r="E237" s="24"/>
      <c r="F237" s="24" t="s">
        <v>160</v>
      </c>
      <c r="G237" s="25" t="n">
        <v>20.5</v>
      </c>
    </row>
    <row r="238" customFormat="false" ht="17.15" hidden="false" customHeight="false" outlineLevel="0" collapsed="false">
      <c r="A238" s="24" t="s">
        <v>60</v>
      </c>
      <c r="B238" s="24" t="s">
        <v>61</v>
      </c>
      <c r="C238" s="24"/>
      <c r="D238" s="24"/>
      <c r="E238" s="24"/>
      <c r="F238" s="24" t="s">
        <v>161</v>
      </c>
      <c r="G238" s="26" t="n">
        <f aca="false">ROUND(2*(5.6+3.66),3)</f>
        <v>18.52</v>
      </c>
    </row>
    <row r="239" customFormat="false" ht="17.15" hidden="false" customHeight="false" outlineLevel="0" collapsed="false">
      <c r="A239" s="24" t="s">
        <v>63</v>
      </c>
      <c r="B239" s="24" t="s">
        <v>64</v>
      </c>
      <c r="C239" s="24"/>
      <c r="D239" s="24"/>
      <c r="E239" s="24"/>
      <c r="F239" s="21" t="s">
        <v>162</v>
      </c>
      <c r="G239" s="25" t="n">
        <v>13.5</v>
      </c>
    </row>
    <row r="240" customFormat="false" ht="17.15" hidden="false" customHeight="false" outlineLevel="0" collapsed="false">
      <c r="A240" s="24" t="s">
        <v>66</v>
      </c>
      <c r="B240" s="24" t="s">
        <v>67</v>
      </c>
      <c r="C240" s="24"/>
      <c r="D240" s="24"/>
      <c r="E240" s="24"/>
      <c r="F240" s="21" t="s">
        <v>68</v>
      </c>
      <c r="G240" s="24"/>
    </row>
    <row r="241" customFormat="false" ht="17.15" hidden="false" customHeight="false" outlineLevel="0" collapsed="false">
      <c r="A241" s="27"/>
      <c r="B241" s="27" t="s">
        <v>69</v>
      </c>
      <c r="C241" s="27"/>
      <c r="D241" s="27"/>
      <c r="E241" s="27"/>
      <c r="F241" s="27"/>
      <c r="G241" s="27"/>
    </row>
    <row r="242" customFormat="false" ht="24.75" hidden="false" customHeight="true" outlineLevel="0" collapsed="false">
      <c r="A242" s="24"/>
      <c r="B242" s="21" t="s">
        <v>70</v>
      </c>
      <c r="C242" s="21" t="s">
        <v>71</v>
      </c>
      <c r="D242" s="21" t="s">
        <v>72</v>
      </c>
      <c r="E242" s="24" t="s">
        <v>13</v>
      </c>
      <c r="F242" s="24" t="s">
        <v>73</v>
      </c>
      <c r="G242" s="24" t="n">
        <f aca="false">G237-0</f>
        <v>20.5</v>
      </c>
    </row>
    <row r="243" customFormat="false" ht="24.75" hidden="false" customHeight="true" outlineLevel="0" collapsed="false">
      <c r="A243" s="24"/>
      <c r="B243" s="21" t="s">
        <v>74</v>
      </c>
      <c r="C243" s="21" t="s">
        <v>75</v>
      </c>
      <c r="D243" s="24" t="s">
        <v>76</v>
      </c>
      <c r="E243" s="24" t="s">
        <v>34</v>
      </c>
      <c r="F243" s="24" t="s">
        <v>77</v>
      </c>
      <c r="G243" s="24" t="n">
        <f aca="false">G239</f>
        <v>13.5</v>
      </c>
    </row>
    <row r="244" customFormat="false" ht="24.75" hidden="false" customHeight="true" outlineLevel="0" collapsed="false">
      <c r="A244" s="27"/>
      <c r="B244" s="27" t="s">
        <v>78</v>
      </c>
      <c r="C244" s="27"/>
      <c r="D244" s="27"/>
      <c r="E244" s="27"/>
      <c r="F244" s="27"/>
      <c r="G244" s="27"/>
    </row>
    <row r="246" customFormat="false" ht="15" hidden="false" customHeight="false" outlineLevel="0" collapsed="false">
      <c r="A246" s="22" t="s">
        <v>50</v>
      </c>
      <c r="B246" s="22" t="s">
        <v>51</v>
      </c>
      <c r="C246" s="22" t="s">
        <v>2</v>
      </c>
      <c r="D246" s="22" t="s">
        <v>3</v>
      </c>
      <c r="E246" s="22" t="s">
        <v>4</v>
      </c>
      <c r="F246" s="22" t="s">
        <v>52</v>
      </c>
      <c r="G246" s="22" t="s">
        <v>53</v>
      </c>
    </row>
    <row r="247" customFormat="false" ht="17.15" hidden="false" customHeight="false" outlineLevel="0" collapsed="false">
      <c r="A247" s="15" t="s">
        <v>163</v>
      </c>
      <c r="C247" s="15" t="s">
        <v>55</v>
      </c>
      <c r="F247" s="23" t="s">
        <v>56</v>
      </c>
    </row>
    <row r="248" customFormat="false" ht="17.15" hidden="false" customHeight="false" outlineLevel="0" collapsed="false">
      <c r="A248" s="24" t="s">
        <v>57</v>
      </c>
      <c r="B248" s="24" t="s">
        <v>58</v>
      </c>
      <c r="C248" s="24"/>
      <c r="D248" s="24"/>
      <c r="E248" s="24"/>
      <c r="F248" s="24" t="s">
        <v>164</v>
      </c>
      <c r="G248" s="25" t="n">
        <v>14.83</v>
      </c>
    </row>
    <row r="249" customFormat="false" ht="17.15" hidden="false" customHeight="false" outlineLevel="0" collapsed="false">
      <c r="A249" s="24" t="s">
        <v>60</v>
      </c>
      <c r="B249" s="24" t="s">
        <v>61</v>
      </c>
      <c r="C249" s="24"/>
      <c r="D249" s="24"/>
      <c r="E249" s="24"/>
      <c r="F249" s="21" t="s">
        <v>62</v>
      </c>
      <c r="G249" s="26"/>
    </row>
    <row r="250" customFormat="false" ht="17.15" hidden="false" customHeight="false" outlineLevel="0" collapsed="false">
      <c r="A250" s="24" t="s">
        <v>63</v>
      </c>
      <c r="B250" s="24" t="s">
        <v>64</v>
      </c>
      <c r="C250" s="24"/>
      <c r="D250" s="24"/>
      <c r="E250" s="24"/>
      <c r="F250" s="21" t="s">
        <v>165</v>
      </c>
      <c r="G250" s="25" t="n">
        <v>9.6</v>
      </c>
    </row>
    <row r="251" customFormat="false" ht="17.15" hidden="false" customHeight="false" outlineLevel="0" collapsed="false">
      <c r="A251" s="24" t="s">
        <v>66</v>
      </c>
      <c r="B251" s="24" t="s">
        <v>67</v>
      </c>
      <c r="C251" s="24"/>
      <c r="D251" s="24"/>
      <c r="E251" s="24"/>
      <c r="F251" s="21" t="s">
        <v>68</v>
      </c>
      <c r="G251" s="24"/>
    </row>
    <row r="252" customFormat="false" ht="17.15" hidden="false" customHeight="false" outlineLevel="0" collapsed="false">
      <c r="A252" s="27"/>
      <c r="B252" s="27" t="s">
        <v>69</v>
      </c>
      <c r="C252" s="27"/>
      <c r="D252" s="27"/>
      <c r="E252" s="27"/>
      <c r="F252" s="27"/>
      <c r="G252" s="27"/>
    </row>
    <row r="253" customFormat="false" ht="24.75" hidden="false" customHeight="true" outlineLevel="0" collapsed="false">
      <c r="A253" s="24"/>
      <c r="B253" s="21" t="s">
        <v>70</v>
      </c>
      <c r="C253" s="21" t="s">
        <v>71</v>
      </c>
      <c r="D253" s="21" t="s">
        <v>72</v>
      </c>
      <c r="E253" s="24" t="s">
        <v>13</v>
      </c>
      <c r="F253" s="24" t="s">
        <v>73</v>
      </c>
      <c r="G253" s="24" t="n">
        <f aca="false">G248-0</f>
        <v>14.83</v>
      </c>
    </row>
    <row r="254" customFormat="false" ht="24.75" hidden="false" customHeight="true" outlineLevel="0" collapsed="false">
      <c r="A254" s="24"/>
      <c r="B254" s="21" t="s">
        <v>74</v>
      </c>
      <c r="C254" s="21" t="s">
        <v>75</v>
      </c>
      <c r="D254" s="24" t="s">
        <v>76</v>
      </c>
      <c r="E254" s="24" t="s">
        <v>34</v>
      </c>
      <c r="F254" s="24" t="s">
        <v>77</v>
      </c>
      <c r="G254" s="24" t="n">
        <f aca="false">G250</f>
        <v>9.6</v>
      </c>
    </row>
    <row r="255" customFormat="false" ht="24.75" hidden="false" customHeight="true" outlineLevel="0" collapsed="false">
      <c r="A255" s="27"/>
      <c r="B255" s="27" t="s">
        <v>78</v>
      </c>
      <c r="C255" s="27"/>
      <c r="D255" s="27"/>
      <c r="E255" s="27"/>
      <c r="F255" s="27"/>
      <c r="G255" s="27"/>
    </row>
    <row r="257" customFormat="false" ht="15" hidden="false" customHeight="false" outlineLevel="0" collapsed="false">
      <c r="A257" s="22" t="s">
        <v>50</v>
      </c>
      <c r="B257" s="22" t="s">
        <v>51</v>
      </c>
      <c r="C257" s="22" t="s">
        <v>2</v>
      </c>
      <c r="D257" s="22" t="s">
        <v>3</v>
      </c>
      <c r="E257" s="22" t="s">
        <v>4</v>
      </c>
      <c r="F257" s="22" t="s">
        <v>52</v>
      </c>
      <c r="G257" s="22" t="s">
        <v>53</v>
      </c>
    </row>
    <row r="258" customFormat="false" ht="17.15" hidden="false" customHeight="false" outlineLevel="0" collapsed="false">
      <c r="A258" s="15" t="s">
        <v>166</v>
      </c>
      <c r="C258" s="15" t="s">
        <v>55</v>
      </c>
      <c r="F258" s="23" t="s">
        <v>56</v>
      </c>
    </row>
    <row r="259" customFormat="false" ht="17.15" hidden="false" customHeight="false" outlineLevel="0" collapsed="false">
      <c r="A259" s="24" t="s">
        <v>57</v>
      </c>
      <c r="B259" s="24" t="s">
        <v>58</v>
      </c>
      <c r="C259" s="24"/>
      <c r="D259" s="24"/>
      <c r="E259" s="24"/>
      <c r="F259" s="24" t="s">
        <v>167</v>
      </c>
      <c r="G259" s="25" t="n">
        <v>14.22</v>
      </c>
    </row>
    <row r="260" customFormat="false" ht="17.15" hidden="false" customHeight="false" outlineLevel="0" collapsed="false">
      <c r="A260" s="24" t="s">
        <v>60</v>
      </c>
      <c r="B260" s="24" t="s">
        <v>61</v>
      </c>
      <c r="C260" s="24"/>
      <c r="D260" s="24"/>
      <c r="E260" s="24"/>
      <c r="F260" s="24" t="s">
        <v>168</v>
      </c>
      <c r="G260" s="26" t="n">
        <f aca="false">ROUND(2*(3.198+4.445),3)</f>
        <v>15.286</v>
      </c>
    </row>
    <row r="261" customFormat="false" ht="17.15" hidden="false" customHeight="false" outlineLevel="0" collapsed="false">
      <c r="A261" s="24" t="s">
        <v>63</v>
      </c>
      <c r="B261" s="24" t="s">
        <v>64</v>
      </c>
      <c r="C261" s="24"/>
      <c r="D261" s="24"/>
      <c r="E261" s="24"/>
      <c r="F261" s="21" t="s">
        <v>169</v>
      </c>
      <c r="G261" s="25" t="n">
        <v>3.9</v>
      </c>
    </row>
    <row r="262" customFormat="false" ht="17.15" hidden="false" customHeight="false" outlineLevel="0" collapsed="false">
      <c r="A262" s="24" t="s">
        <v>66</v>
      </c>
      <c r="B262" s="24" t="s">
        <v>67</v>
      </c>
      <c r="C262" s="24"/>
      <c r="D262" s="24"/>
      <c r="E262" s="24"/>
      <c r="F262" s="21" t="s">
        <v>68</v>
      </c>
      <c r="G262" s="24"/>
    </row>
    <row r="263" customFormat="false" ht="17.15" hidden="false" customHeight="false" outlineLevel="0" collapsed="false">
      <c r="A263" s="27"/>
      <c r="B263" s="27" t="s">
        <v>69</v>
      </c>
      <c r="C263" s="27"/>
      <c r="D263" s="27"/>
      <c r="E263" s="27"/>
      <c r="F263" s="27"/>
      <c r="G263" s="27"/>
    </row>
    <row r="264" customFormat="false" ht="24.75" hidden="false" customHeight="true" outlineLevel="0" collapsed="false">
      <c r="A264" s="24"/>
      <c r="B264" s="21" t="s">
        <v>70</v>
      </c>
      <c r="C264" s="21" t="s">
        <v>110</v>
      </c>
      <c r="D264" s="21" t="s">
        <v>72</v>
      </c>
      <c r="E264" s="24" t="s">
        <v>13</v>
      </c>
      <c r="F264" s="24" t="s">
        <v>73</v>
      </c>
      <c r="G264" s="24" t="n">
        <f aca="false">G259-0</f>
        <v>14.22</v>
      </c>
    </row>
    <row r="265" customFormat="false" ht="24.75" hidden="false" customHeight="true" outlineLevel="0" collapsed="false">
      <c r="A265" s="24"/>
      <c r="B265" s="21" t="s">
        <v>74</v>
      </c>
      <c r="C265" s="21" t="s">
        <v>75</v>
      </c>
      <c r="D265" s="24" t="s">
        <v>76</v>
      </c>
      <c r="E265" s="24" t="s">
        <v>34</v>
      </c>
      <c r="F265" s="24" t="s">
        <v>77</v>
      </c>
      <c r="G265" s="24" t="n">
        <f aca="false">G261</f>
        <v>3.9</v>
      </c>
    </row>
    <row r="266" customFormat="false" ht="24.75" hidden="false" customHeight="true" outlineLevel="0" collapsed="false">
      <c r="A266" s="27"/>
      <c r="B266" s="27" t="s">
        <v>78</v>
      </c>
      <c r="C266" s="27"/>
      <c r="D266" s="27"/>
      <c r="E266" s="27"/>
      <c r="F266" s="27"/>
      <c r="G266" s="27"/>
    </row>
    <row r="268" customFormat="false" ht="15" hidden="false" customHeight="false" outlineLevel="0" collapsed="false">
      <c r="A268" s="22" t="s">
        <v>50</v>
      </c>
      <c r="B268" s="22" t="s">
        <v>51</v>
      </c>
      <c r="C268" s="22" t="s">
        <v>2</v>
      </c>
      <c r="D268" s="22" t="s">
        <v>3</v>
      </c>
      <c r="E268" s="22" t="s">
        <v>4</v>
      </c>
      <c r="F268" s="22" t="s">
        <v>52</v>
      </c>
      <c r="G268" s="22" t="s">
        <v>53</v>
      </c>
    </row>
    <row r="269" customFormat="false" ht="17.15" hidden="false" customHeight="false" outlineLevel="0" collapsed="false">
      <c r="A269" s="15" t="s">
        <v>170</v>
      </c>
      <c r="C269" s="15" t="s">
        <v>55</v>
      </c>
      <c r="F269" s="23" t="s">
        <v>56</v>
      </c>
    </row>
    <row r="270" customFormat="false" ht="17.15" hidden="false" customHeight="false" outlineLevel="0" collapsed="false">
      <c r="A270" s="24" t="s">
        <v>57</v>
      </c>
      <c r="B270" s="24" t="s">
        <v>58</v>
      </c>
      <c r="C270" s="24"/>
      <c r="D270" s="24"/>
      <c r="E270" s="24"/>
      <c r="F270" s="24" t="s">
        <v>171</v>
      </c>
      <c r="G270" s="25" t="n">
        <v>14.01</v>
      </c>
    </row>
    <row r="271" customFormat="false" ht="17.15" hidden="false" customHeight="false" outlineLevel="0" collapsed="false">
      <c r="A271" s="24" t="s">
        <v>60</v>
      </c>
      <c r="B271" s="24" t="s">
        <v>61</v>
      </c>
      <c r="C271" s="24"/>
      <c r="D271" s="24"/>
      <c r="E271" s="24"/>
      <c r="F271" s="21" t="s">
        <v>62</v>
      </c>
      <c r="G271" s="26"/>
    </row>
    <row r="272" customFormat="false" ht="17.15" hidden="false" customHeight="false" outlineLevel="0" collapsed="false">
      <c r="A272" s="24" t="s">
        <v>63</v>
      </c>
      <c r="B272" s="24" t="s">
        <v>64</v>
      </c>
      <c r="C272" s="24"/>
      <c r="D272" s="24"/>
      <c r="E272" s="24"/>
      <c r="F272" s="21" t="s">
        <v>172</v>
      </c>
      <c r="G272" s="25" t="n">
        <v>0</v>
      </c>
    </row>
    <row r="273" customFormat="false" ht="17.15" hidden="false" customHeight="false" outlineLevel="0" collapsed="false">
      <c r="A273" s="24" t="s">
        <v>66</v>
      </c>
      <c r="B273" s="24" t="s">
        <v>67</v>
      </c>
      <c r="C273" s="24"/>
      <c r="D273" s="24"/>
      <c r="E273" s="24"/>
      <c r="F273" s="21" t="s">
        <v>68</v>
      </c>
      <c r="G273" s="24"/>
    </row>
    <row r="274" customFormat="false" ht="17.15" hidden="false" customHeight="false" outlineLevel="0" collapsed="false">
      <c r="A274" s="27"/>
      <c r="B274" s="27" t="s">
        <v>69</v>
      </c>
      <c r="C274" s="27"/>
      <c r="D274" s="27"/>
      <c r="E274" s="27"/>
      <c r="F274" s="27"/>
      <c r="G274" s="27"/>
    </row>
    <row r="275" customFormat="false" ht="24.75" hidden="false" customHeight="true" outlineLevel="0" collapsed="false">
      <c r="A275" s="24"/>
      <c r="B275" s="21" t="s">
        <v>70</v>
      </c>
      <c r="C275" s="21" t="s">
        <v>110</v>
      </c>
      <c r="D275" s="21" t="s">
        <v>72</v>
      </c>
      <c r="E275" s="24" t="s">
        <v>13</v>
      </c>
      <c r="F275" s="24" t="s">
        <v>73</v>
      </c>
      <c r="G275" s="24" t="n">
        <f aca="false">G270-0</f>
        <v>14.01</v>
      </c>
    </row>
    <row r="276" customFormat="false" ht="24.75" hidden="false" customHeight="true" outlineLevel="0" collapsed="false">
      <c r="A276" s="24"/>
      <c r="B276" s="21" t="s">
        <v>74</v>
      </c>
      <c r="C276" s="21" t="s">
        <v>75</v>
      </c>
      <c r="D276" s="24" t="s">
        <v>76</v>
      </c>
      <c r="E276" s="24" t="s">
        <v>34</v>
      </c>
      <c r="F276" s="24" t="s">
        <v>77</v>
      </c>
      <c r="G276" s="24" t="n">
        <f aca="false">G272</f>
        <v>0</v>
      </c>
    </row>
    <row r="277" customFormat="false" ht="24.75" hidden="false" customHeight="true" outlineLevel="0" collapsed="false">
      <c r="A277" s="27"/>
      <c r="B277" s="27" t="s">
        <v>78</v>
      </c>
      <c r="C277" s="27"/>
      <c r="D277" s="27"/>
      <c r="E277" s="27"/>
      <c r="F277" s="27"/>
      <c r="G277" s="27"/>
    </row>
    <row r="279" customFormat="false" ht="15" hidden="false" customHeight="false" outlineLevel="0" collapsed="false">
      <c r="A279" s="22" t="s">
        <v>50</v>
      </c>
      <c r="B279" s="22" t="s">
        <v>51</v>
      </c>
      <c r="C279" s="22" t="s">
        <v>2</v>
      </c>
      <c r="D279" s="22" t="s">
        <v>3</v>
      </c>
      <c r="E279" s="22" t="s">
        <v>4</v>
      </c>
      <c r="F279" s="22" t="s">
        <v>52</v>
      </c>
      <c r="G279" s="22" t="s">
        <v>53</v>
      </c>
    </row>
    <row r="280" customFormat="false" ht="17.15" hidden="false" customHeight="false" outlineLevel="0" collapsed="false">
      <c r="A280" s="15" t="s">
        <v>173</v>
      </c>
      <c r="C280" s="15" t="s">
        <v>55</v>
      </c>
      <c r="F280" s="23" t="s">
        <v>56</v>
      </c>
    </row>
    <row r="281" customFormat="false" ht="17.15" hidden="false" customHeight="false" outlineLevel="0" collapsed="false">
      <c r="A281" s="24" t="s">
        <v>57</v>
      </c>
      <c r="B281" s="24" t="s">
        <v>58</v>
      </c>
      <c r="C281" s="24"/>
      <c r="D281" s="24"/>
      <c r="E281" s="24"/>
      <c r="F281" s="24" t="s">
        <v>174</v>
      </c>
      <c r="G281" s="25" t="n">
        <v>22.66</v>
      </c>
    </row>
    <row r="282" customFormat="false" ht="17.15" hidden="false" customHeight="false" outlineLevel="0" collapsed="false">
      <c r="A282" s="24" t="s">
        <v>60</v>
      </c>
      <c r="B282" s="24" t="s">
        <v>61</v>
      </c>
      <c r="C282" s="24"/>
      <c r="D282" s="24"/>
      <c r="E282" s="24"/>
      <c r="F282" s="24" t="s">
        <v>175</v>
      </c>
      <c r="G282" s="26" t="n">
        <f aca="false">ROUND(2*(5.098+4.445),3)</f>
        <v>19.086</v>
      </c>
    </row>
    <row r="283" customFormat="false" ht="17.15" hidden="false" customHeight="false" outlineLevel="0" collapsed="false">
      <c r="A283" s="24" t="s">
        <v>63</v>
      </c>
      <c r="B283" s="24" t="s">
        <v>64</v>
      </c>
      <c r="C283" s="24"/>
      <c r="D283" s="24"/>
      <c r="E283" s="24"/>
      <c r="F283" s="21" t="s">
        <v>176</v>
      </c>
      <c r="G283" s="25" t="n">
        <v>3.9</v>
      </c>
    </row>
    <row r="284" customFormat="false" ht="17.15" hidden="false" customHeight="false" outlineLevel="0" collapsed="false">
      <c r="A284" s="24" t="s">
        <v>66</v>
      </c>
      <c r="B284" s="24" t="s">
        <v>67</v>
      </c>
      <c r="C284" s="24"/>
      <c r="D284" s="24"/>
      <c r="E284" s="24"/>
      <c r="F284" s="21" t="s">
        <v>68</v>
      </c>
      <c r="G284" s="24"/>
    </row>
    <row r="285" customFormat="false" ht="17.15" hidden="false" customHeight="false" outlineLevel="0" collapsed="false">
      <c r="A285" s="27"/>
      <c r="B285" s="27" t="s">
        <v>69</v>
      </c>
      <c r="C285" s="27"/>
      <c r="D285" s="27"/>
      <c r="E285" s="27"/>
      <c r="F285" s="27"/>
      <c r="G285" s="27"/>
    </row>
    <row r="286" customFormat="false" ht="24.75" hidden="false" customHeight="true" outlineLevel="0" collapsed="false">
      <c r="A286" s="24"/>
      <c r="B286" s="21" t="s">
        <v>70</v>
      </c>
      <c r="C286" s="21" t="s">
        <v>110</v>
      </c>
      <c r="D286" s="21" t="s">
        <v>72</v>
      </c>
      <c r="E286" s="24" t="s">
        <v>13</v>
      </c>
      <c r="F286" s="24" t="s">
        <v>73</v>
      </c>
      <c r="G286" s="24" t="n">
        <f aca="false">G281-0</f>
        <v>22.66</v>
      </c>
    </row>
    <row r="287" customFormat="false" ht="24.75" hidden="false" customHeight="true" outlineLevel="0" collapsed="false">
      <c r="A287" s="24"/>
      <c r="B287" s="21" t="s">
        <v>74</v>
      </c>
      <c r="C287" s="21" t="s">
        <v>75</v>
      </c>
      <c r="D287" s="24" t="s">
        <v>76</v>
      </c>
      <c r="E287" s="24" t="s">
        <v>34</v>
      </c>
      <c r="F287" s="24" t="s">
        <v>77</v>
      </c>
      <c r="G287" s="24" t="n">
        <f aca="false">G283</f>
        <v>3.9</v>
      </c>
    </row>
    <row r="288" customFormat="false" ht="24.75" hidden="false" customHeight="true" outlineLevel="0" collapsed="false">
      <c r="A288" s="27"/>
      <c r="B288" s="27" t="s">
        <v>78</v>
      </c>
      <c r="C288" s="27"/>
      <c r="D288" s="27"/>
      <c r="E288" s="27"/>
      <c r="F288" s="27"/>
      <c r="G288" s="27"/>
    </row>
    <row r="290" customFormat="false" ht="15" hidden="false" customHeight="false" outlineLevel="0" collapsed="false">
      <c r="A290" s="22" t="s">
        <v>50</v>
      </c>
      <c r="B290" s="22" t="s">
        <v>51</v>
      </c>
      <c r="C290" s="22" t="s">
        <v>2</v>
      </c>
      <c r="D290" s="22" t="s">
        <v>3</v>
      </c>
      <c r="E290" s="22" t="s">
        <v>4</v>
      </c>
      <c r="F290" s="22" t="s">
        <v>52</v>
      </c>
      <c r="G290" s="22" t="s">
        <v>53</v>
      </c>
    </row>
    <row r="291" customFormat="false" ht="17.15" hidden="false" customHeight="false" outlineLevel="0" collapsed="false">
      <c r="A291" s="15" t="s">
        <v>177</v>
      </c>
      <c r="C291" s="15" t="s">
        <v>55</v>
      </c>
      <c r="F291" s="23" t="s">
        <v>56</v>
      </c>
    </row>
    <row r="292" customFormat="false" ht="17.15" hidden="false" customHeight="false" outlineLevel="0" collapsed="false">
      <c r="A292" s="24" t="s">
        <v>57</v>
      </c>
      <c r="B292" s="24" t="s">
        <v>58</v>
      </c>
      <c r="C292" s="24"/>
      <c r="D292" s="24"/>
      <c r="E292" s="24"/>
      <c r="F292" s="24" t="s">
        <v>178</v>
      </c>
      <c r="G292" s="25" t="n">
        <v>42.05</v>
      </c>
    </row>
    <row r="293" customFormat="false" ht="17.15" hidden="false" customHeight="false" outlineLevel="0" collapsed="false">
      <c r="A293" s="24" t="s">
        <v>60</v>
      </c>
      <c r="B293" s="24" t="s">
        <v>61</v>
      </c>
      <c r="C293" s="24"/>
      <c r="D293" s="24"/>
      <c r="E293" s="24"/>
      <c r="F293" s="21" t="s">
        <v>62</v>
      </c>
      <c r="G293" s="26"/>
    </row>
    <row r="294" customFormat="false" ht="17.15" hidden="false" customHeight="false" outlineLevel="0" collapsed="false">
      <c r="A294" s="24" t="s">
        <v>63</v>
      </c>
      <c r="B294" s="24" t="s">
        <v>64</v>
      </c>
      <c r="C294" s="24"/>
      <c r="D294" s="24"/>
      <c r="E294" s="24"/>
      <c r="F294" s="21" t="s">
        <v>179</v>
      </c>
      <c r="G294" s="25" t="n">
        <v>15.3</v>
      </c>
    </row>
    <row r="295" customFormat="false" ht="17.15" hidden="false" customHeight="false" outlineLevel="0" collapsed="false">
      <c r="A295" s="24" t="s">
        <v>66</v>
      </c>
      <c r="B295" s="24" t="s">
        <v>67</v>
      </c>
      <c r="C295" s="24"/>
      <c r="D295" s="24"/>
      <c r="E295" s="24"/>
      <c r="F295" s="21" t="s">
        <v>68</v>
      </c>
      <c r="G295" s="24"/>
    </row>
    <row r="296" customFormat="false" ht="17.15" hidden="false" customHeight="false" outlineLevel="0" collapsed="false">
      <c r="A296" s="27"/>
      <c r="B296" s="27" t="s">
        <v>69</v>
      </c>
      <c r="C296" s="27"/>
      <c r="D296" s="27"/>
      <c r="E296" s="27"/>
      <c r="F296" s="27"/>
      <c r="G296" s="27"/>
    </row>
    <row r="297" customFormat="false" ht="24.75" hidden="false" customHeight="true" outlineLevel="0" collapsed="false">
      <c r="A297" s="24"/>
      <c r="B297" s="21" t="s">
        <v>70</v>
      </c>
      <c r="C297" s="21" t="s">
        <v>180</v>
      </c>
      <c r="D297" s="21" t="s">
        <v>72</v>
      </c>
      <c r="E297" s="24" t="s">
        <v>13</v>
      </c>
      <c r="F297" s="24" t="s">
        <v>73</v>
      </c>
      <c r="G297" s="24" t="n">
        <f aca="false">G292-0</f>
        <v>42.05</v>
      </c>
    </row>
    <row r="298" customFormat="false" ht="24.75" hidden="false" customHeight="true" outlineLevel="0" collapsed="false">
      <c r="A298" s="24"/>
      <c r="B298" s="21" t="s">
        <v>74</v>
      </c>
      <c r="C298" s="21" t="s">
        <v>75</v>
      </c>
      <c r="D298" s="24" t="s">
        <v>76</v>
      </c>
      <c r="E298" s="24" t="s">
        <v>34</v>
      </c>
      <c r="F298" s="24" t="s">
        <v>77</v>
      </c>
      <c r="G298" s="24" t="n">
        <f aca="false">G294</f>
        <v>15.3</v>
      </c>
    </row>
    <row r="299" customFormat="false" ht="24.75" hidden="false" customHeight="true" outlineLevel="0" collapsed="false">
      <c r="A299" s="27"/>
      <c r="B299" s="27" t="s">
        <v>78</v>
      </c>
      <c r="C299" s="27"/>
      <c r="D299" s="27"/>
      <c r="E299" s="27"/>
      <c r="F299" s="27"/>
      <c r="G299" s="27"/>
    </row>
    <row r="301" customFormat="false" ht="15" hidden="false" customHeight="false" outlineLevel="0" collapsed="false">
      <c r="A301" s="22" t="s">
        <v>50</v>
      </c>
      <c r="B301" s="22" t="s">
        <v>51</v>
      </c>
      <c r="C301" s="22" t="s">
        <v>2</v>
      </c>
      <c r="D301" s="22" t="s">
        <v>3</v>
      </c>
      <c r="E301" s="22" t="s">
        <v>4</v>
      </c>
      <c r="F301" s="22" t="s">
        <v>52</v>
      </c>
      <c r="G301" s="22" t="s">
        <v>53</v>
      </c>
    </row>
    <row r="302" customFormat="false" ht="17.15" hidden="false" customHeight="false" outlineLevel="0" collapsed="false">
      <c r="A302" s="15" t="s">
        <v>181</v>
      </c>
      <c r="C302" s="15" t="s">
        <v>55</v>
      </c>
      <c r="F302" s="23" t="s">
        <v>56</v>
      </c>
    </row>
    <row r="303" customFormat="false" ht="17.15" hidden="false" customHeight="false" outlineLevel="0" collapsed="false">
      <c r="A303" s="24" t="s">
        <v>57</v>
      </c>
      <c r="B303" s="24" t="s">
        <v>58</v>
      </c>
      <c r="C303" s="24"/>
      <c r="D303" s="24"/>
      <c r="E303" s="24"/>
      <c r="F303" s="24" t="s">
        <v>182</v>
      </c>
      <c r="G303" s="25" t="n">
        <v>35.98</v>
      </c>
    </row>
    <row r="304" customFormat="false" ht="17.15" hidden="false" customHeight="false" outlineLevel="0" collapsed="false">
      <c r="A304" s="24" t="s">
        <v>60</v>
      </c>
      <c r="B304" s="24" t="s">
        <v>61</v>
      </c>
      <c r="C304" s="24"/>
      <c r="D304" s="24"/>
      <c r="E304" s="24"/>
      <c r="F304" s="21" t="s">
        <v>62</v>
      </c>
      <c r="G304" s="26"/>
    </row>
    <row r="305" customFormat="false" ht="17.15" hidden="false" customHeight="false" outlineLevel="0" collapsed="false">
      <c r="A305" s="24" t="s">
        <v>63</v>
      </c>
      <c r="B305" s="24" t="s">
        <v>64</v>
      </c>
      <c r="C305" s="24"/>
      <c r="D305" s="24"/>
      <c r="E305" s="24"/>
      <c r="F305" s="21" t="s">
        <v>183</v>
      </c>
      <c r="G305" s="25" t="n">
        <v>15.3</v>
      </c>
    </row>
    <row r="306" customFormat="false" ht="17.15" hidden="false" customHeight="false" outlineLevel="0" collapsed="false">
      <c r="A306" s="24" t="s">
        <v>66</v>
      </c>
      <c r="B306" s="24" t="s">
        <v>67</v>
      </c>
      <c r="C306" s="24"/>
      <c r="D306" s="24"/>
      <c r="E306" s="24"/>
      <c r="F306" s="21" t="s">
        <v>68</v>
      </c>
      <c r="G306" s="24"/>
    </row>
    <row r="307" customFormat="false" ht="17.15" hidden="false" customHeight="false" outlineLevel="0" collapsed="false">
      <c r="A307" s="27"/>
      <c r="B307" s="27" t="s">
        <v>69</v>
      </c>
      <c r="C307" s="27"/>
      <c r="D307" s="27"/>
      <c r="E307" s="27"/>
      <c r="F307" s="27"/>
      <c r="G307" s="27"/>
    </row>
    <row r="308" customFormat="false" ht="24.75" hidden="false" customHeight="true" outlineLevel="0" collapsed="false">
      <c r="A308" s="24"/>
      <c r="B308" s="21" t="s">
        <v>70</v>
      </c>
      <c r="C308" s="21" t="s">
        <v>180</v>
      </c>
      <c r="D308" s="21" t="s">
        <v>72</v>
      </c>
      <c r="E308" s="24" t="s">
        <v>13</v>
      </c>
      <c r="F308" s="24" t="s">
        <v>73</v>
      </c>
      <c r="G308" s="24" t="n">
        <f aca="false">G303-0</f>
        <v>35.98</v>
      </c>
    </row>
    <row r="309" customFormat="false" ht="24.75" hidden="false" customHeight="true" outlineLevel="0" collapsed="false">
      <c r="A309" s="24"/>
      <c r="B309" s="21" t="s">
        <v>74</v>
      </c>
      <c r="C309" s="21" t="s">
        <v>75</v>
      </c>
      <c r="D309" s="24" t="s">
        <v>76</v>
      </c>
      <c r="E309" s="24" t="s">
        <v>34</v>
      </c>
      <c r="F309" s="24" t="s">
        <v>77</v>
      </c>
      <c r="G309" s="24" t="n">
        <f aca="false">G305</f>
        <v>15.3</v>
      </c>
    </row>
    <row r="310" customFormat="false" ht="24.75" hidden="false" customHeight="true" outlineLevel="0" collapsed="false">
      <c r="A310" s="27"/>
      <c r="B310" s="27" t="s">
        <v>78</v>
      </c>
      <c r="C310" s="27"/>
      <c r="D310" s="27"/>
      <c r="E310" s="27"/>
      <c r="F310" s="27"/>
      <c r="G310" s="27"/>
    </row>
    <row r="312" customFormat="false" ht="15" hidden="false" customHeight="false" outlineLevel="0" collapsed="false">
      <c r="A312" s="22" t="s">
        <v>50</v>
      </c>
      <c r="B312" s="22" t="s">
        <v>51</v>
      </c>
      <c r="C312" s="22" t="s">
        <v>2</v>
      </c>
      <c r="D312" s="22" t="s">
        <v>3</v>
      </c>
      <c r="E312" s="22" t="s">
        <v>4</v>
      </c>
      <c r="F312" s="22" t="s">
        <v>52</v>
      </c>
      <c r="G312" s="22" t="s">
        <v>53</v>
      </c>
    </row>
    <row r="313" customFormat="false" ht="17.15" hidden="false" customHeight="false" outlineLevel="0" collapsed="false">
      <c r="A313" s="15" t="s">
        <v>184</v>
      </c>
      <c r="C313" s="15" t="s">
        <v>55</v>
      </c>
      <c r="F313" s="23" t="s">
        <v>56</v>
      </c>
    </row>
    <row r="314" customFormat="false" ht="17.15" hidden="false" customHeight="false" outlineLevel="0" collapsed="false">
      <c r="A314" s="24" t="s">
        <v>57</v>
      </c>
      <c r="B314" s="24" t="s">
        <v>58</v>
      </c>
      <c r="C314" s="24"/>
      <c r="D314" s="24"/>
      <c r="E314" s="24"/>
      <c r="F314" s="24" t="s">
        <v>185</v>
      </c>
      <c r="G314" s="25" t="n">
        <v>9.05</v>
      </c>
    </row>
    <row r="315" customFormat="false" ht="17.15" hidden="false" customHeight="false" outlineLevel="0" collapsed="false">
      <c r="A315" s="24" t="s">
        <v>60</v>
      </c>
      <c r="B315" s="24" t="s">
        <v>61</v>
      </c>
      <c r="C315" s="24"/>
      <c r="D315" s="24"/>
      <c r="E315" s="24"/>
      <c r="F315" s="21" t="s">
        <v>62</v>
      </c>
      <c r="G315" s="26"/>
    </row>
    <row r="316" customFormat="false" ht="17.15" hidden="false" customHeight="false" outlineLevel="0" collapsed="false">
      <c r="A316" s="24" t="s">
        <v>63</v>
      </c>
      <c r="B316" s="24" t="s">
        <v>64</v>
      </c>
      <c r="C316" s="24"/>
      <c r="D316" s="24"/>
      <c r="E316" s="24"/>
      <c r="F316" s="21" t="s">
        <v>186</v>
      </c>
      <c r="G316" s="25" t="n">
        <v>11.84</v>
      </c>
    </row>
    <row r="317" customFormat="false" ht="17.15" hidden="false" customHeight="false" outlineLevel="0" collapsed="false">
      <c r="A317" s="24" t="s">
        <v>66</v>
      </c>
      <c r="B317" s="24" t="s">
        <v>67</v>
      </c>
      <c r="C317" s="24"/>
      <c r="D317" s="24"/>
      <c r="E317" s="24"/>
      <c r="F317" s="21" t="s">
        <v>68</v>
      </c>
      <c r="G317" s="24"/>
    </row>
    <row r="318" customFormat="false" ht="17.15" hidden="false" customHeight="false" outlineLevel="0" collapsed="false">
      <c r="A318" s="27"/>
      <c r="B318" s="27" t="s">
        <v>69</v>
      </c>
      <c r="C318" s="27"/>
      <c r="D318" s="27"/>
      <c r="E318" s="27"/>
      <c r="F318" s="27"/>
      <c r="G318" s="27"/>
    </row>
    <row r="319" customFormat="false" ht="24.75" hidden="false" customHeight="true" outlineLevel="0" collapsed="false">
      <c r="A319" s="24"/>
      <c r="B319" s="21" t="s">
        <v>70</v>
      </c>
      <c r="C319" s="21" t="s">
        <v>83</v>
      </c>
      <c r="D319" s="21" t="s">
        <v>84</v>
      </c>
      <c r="E319" s="24" t="s">
        <v>13</v>
      </c>
      <c r="F319" s="24" t="s">
        <v>73</v>
      </c>
      <c r="G319" s="24" t="n">
        <f aca="false">G314-0</f>
        <v>9.05</v>
      </c>
    </row>
    <row r="320" customFormat="false" ht="24.75" hidden="false" customHeight="true" outlineLevel="0" collapsed="false">
      <c r="A320" s="24"/>
      <c r="B320" s="21" t="s">
        <v>74</v>
      </c>
      <c r="C320" s="21" t="s">
        <v>75</v>
      </c>
      <c r="D320" s="24" t="s">
        <v>76</v>
      </c>
      <c r="E320" s="24" t="s">
        <v>34</v>
      </c>
      <c r="F320" s="24" t="s">
        <v>77</v>
      </c>
      <c r="G320" s="24" t="n">
        <f aca="false">G316</f>
        <v>11.84</v>
      </c>
    </row>
    <row r="321" customFormat="false" ht="24.75" hidden="false" customHeight="true" outlineLevel="0" collapsed="false">
      <c r="A321" s="27"/>
      <c r="B321" s="27" t="s">
        <v>78</v>
      </c>
      <c r="C321" s="27"/>
      <c r="D321" s="27"/>
      <c r="E321" s="27"/>
      <c r="F321" s="27"/>
      <c r="G321" s="27"/>
    </row>
    <row r="323" customFormat="false" ht="15" hidden="false" customHeight="false" outlineLevel="0" collapsed="false">
      <c r="A323" s="22" t="s">
        <v>50</v>
      </c>
      <c r="B323" s="22" t="s">
        <v>51</v>
      </c>
      <c r="C323" s="22" t="s">
        <v>2</v>
      </c>
      <c r="D323" s="22" t="s">
        <v>3</v>
      </c>
      <c r="E323" s="22" t="s">
        <v>4</v>
      </c>
      <c r="F323" s="22" t="s">
        <v>52</v>
      </c>
      <c r="G323" s="22" t="s">
        <v>53</v>
      </c>
    </row>
    <row r="324" customFormat="false" ht="17.15" hidden="false" customHeight="false" outlineLevel="0" collapsed="false">
      <c r="A324" s="15" t="s">
        <v>187</v>
      </c>
      <c r="C324" s="15" t="s">
        <v>55</v>
      </c>
      <c r="F324" s="23" t="s">
        <v>56</v>
      </c>
    </row>
    <row r="325" customFormat="false" ht="17.15" hidden="false" customHeight="false" outlineLevel="0" collapsed="false">
      <c r="A325" s="24" t="s">
        <v>57</v>
      </c>
      <c r="B325" s="24" t="s">
        <v>58</v>
      </c>
      <c r="C325" s="24"/>
      <c r="D325" s="24"/>
      <c r="E325" s="24"/>
      <c r="F325" s="24" t="s">
        <v>188</v>
      </c>
      <c r="G325" s="25" t="n">
        <v>10.19</v>
      </c>
    </row>
    <row r="326" customFormat="false" ht="17.15" hidden="false" customHeight="false" outlineLevel="0" collapsed="false">
      <c r="A326" s="24" t="s">
        <v>60</v>
      </c>
      <c r="B326" s="24" t="s">
        <v>61</v>
      </c>
      <c r="C326" s="24"/>
      <c r="D326" s="24"/>
      <c r="E326" s="24"/>
      <c r="F326" s="24" t="s">
        <v>189</v>
      </c>
      <c r="G326" s="26" t="n">
        <f aca="false">ROUND(2*(4.44+2.295),3)</f>
        <v>13.47</v>
      </c>
    </row>
    <row r="327" customFormat="false" ht="17.15" hidden="false" customHeight="false" outlineLevel="0" collapsed="false">
      <c r="A327" s="24" t="s">
        <v>63</v>
      </c>
      <c r="B327" s="24" t="s">
        <v>64</v>
      </c>
      <c r="C327" s="24"/>
      <c r="D327" s="24"/>
      <c r="E327" s="24"/>
      <c r="F327" s="21" t="s">
        <v>190</v>
      </c>
      <c r="G327" s="25" t="n">
        <v>10.8</v>
      </c>
    </row>
    <row r="328" customFormat="false" ht="17.15" hidden="false" customHeight="false" outlineLevel="0" collapsed="false">
      <c r="A328" s="24" t="s">
        <v>66</v>
      </c>
      <c r="B328" s="24" t="s">
        <v>67</v>
      </c>
      <c r="C328" s="24"/>
      <c r="D328" s="24"/>
      <c r="E328" s="24"/>
      <c r="F328" s="21" t="s">
        <v>68</v>
      </c>
      <c r="G328" s="24"/>
    </row>
    <row r="329" customFormat="false" ht="17.15" hidden="false" customHeight="false" outlineLevel="0" collapsed="false">
      <c r="A329" s="27"/>
      <c r="B329" s="27" t="s">
        <v>69</v>
      </c>
      <c r="C329" s="27"/>
      <c r="D329" s="27"/>
      <c r="E329" s="27"/>
      <c r="F329" s="27"/>
      <c r="G329" s="27"/>
    </row>
    <row r="330" customFormat="false" ht="24.75" hidden="false" customHeight="true" outlineLevel="0" collapsed="false">
      <c r="A330" s="24"/>
      <c r="B330" s="21" t="s">
        <v>70</v>
      </c>
      <c r="C330" s="21" t="s">
        <v>102</v>
      </c>
      <c r="D330" s="21" t="s">
        <v>103</v>
      </c>
      <c r="E330" s="24" t="s">
        <v>13</v>
      </c>
      <c r="F330" s="24" t="s">
        <v>73</v>
      </c>
      <c r="G330" s="24" t="n">
        <f aca="false">G325-0</f>
        <v>10.19</v>
      </c>
    </row>
    <row r="331" customFormat="false" ht="24.75" hidden="false" customHeight="true" outlineLevel="0" collapsed="false">
      <c r="A331" s="24"/>
      <c r="B331" s="21" t="s">
        <v>74</v>
      </c>
      <c r="C331" s="21" t="s">
        <v>75</v>
      </c>
      <c r="D331" s="24" t="s">
        <v>76</v>
      </c>
      <c r="E331" s="24" t="s">
        <v>34</v>
      </c>
      <c r="F331" s="24" t="s">
        <v>77</v>
      </c>
      <c r="G331" s="24" t="n">
        <f aca="false">G327</f>
        <v>10.8</v>
      </c>
    </row>
    <row r="332" customFormat="false" ht="24.75" hidden="false" customHeight="true" outlineLevel="0" collapsed="false">
      <c r="A332" s="27"/>
      <c r="B332" s="27" t="s">
        <v>78</v>
      </c>
      <c r="C332" s="27"/>
      <c r="D332" s="27"/>
      <c r="E332" s="27"/>
      <c r="F332" s="27"/>
      <c r="G332" s="27"/>
    </row>
    <row r="334" customFormat="false" ht="15" hidden="false" customHeight="false" outlineLevel="0" collapsed="false">
      <c r="A334" s="22" t="s">
        <v>50</v>
      </c>
      <c r="B334" s="22" t="s">
        <v>51</v>
      </c>
      <c r="C334" s="22" t="s">
        <v>2</v>
      </c>
      <c r="D334" s="22" t="s">
        <v>3</v>
      </c>
      <c r="E334" s="22" t="s">
        <v>4</v>
      </c>
      <c r="F334" s="22" t="s">
        <v>52</v>
      </c>
      <c r="G334" s="22" t="s">
        <v>53</v>
      </c>
    </row>
    <row r="335" customFormat="false" ht="17.15" hidden="false" customHeight="false" outlineLevel="0" collapsed="false">
      <c r="A335" s="15" t="s">
        <v>191</v>
      </c>
      <c r="C335" s="15" t="s">
        <v>55</v>
      </c>
      <c r="F335" s="23" t="s">
        <v>80</v>
      </c>
    </row>
    <row r="336" customFormat="false" ht="17.15" hidden="false" customHeight="false" outlineLevel="0" collapsed="false">
      <c r="A336" s="24" t="s">
        <v>57</v>
      </c>
      <c r="B336" s="24" t="s">
        <v>58</v>
      </c>
      <c r="C336" s="24"/>
      <c r="D336" s="24"/>
      <c r="E336" s="24"/>
      <c r="F336" s="24" t="s">
        <v>192</v>
      </c>
      <c r="G336" s="25" t="n">
        <v>53.09</v>
      </c>
    </row>
    <row r="337" customFormat="false" ht="17.15" hidden="false" customHeight="false" outlineLevel="0" collapsed="false">
      <c r="A337" s="24" t="s">
        <v>60</v>
      </c>
      <c r="B337" s="24" t="s">
        <v>61</v>
      </c>
      <c r="C337" s="24"/>
      <c r="D337" s="24"/>
      <c r="E337" s="24"/>
      <c r="F337" s="24" t="s">
        <v>193</v>
      </c>
      <c r="G337" s="26" t="n">
        <f aca="false">ROUND(2*(5.74+9.25),3)</f>
        <v>29.98</v>
      </c>
    </row>
    <row r="338" customFormat="false" ht="17.15" hidden="false" customHeight="false" outlineLevel="0" collapsed="false">
      <c r="A338" s="24" t="s">
        <v>63</v>
      </c>
      <c r="B338" s="24" t="s">
        <v>64</v>
      </c>
      <c r="C338" s="24"/>
      <c r="D338" s="24"/>
      <c r="E338" s="24"/>
      <c r="F338" s="21" t="s">
        <v>194</v>
      </c>
      <c r="G338" s="25" t="n">
        <v>16</v>
      </c>
    </row>
    <row r="339" customFormat="false" ht="17.15" hidden="false" customHeight="false" outlineLevel="0" collapsed="false">
      <c r="A339" s="24" t="s">
        <v>66</v>
      </c>
      <c r="B339" s="24" t="s">
        <v>67</v>
      </c>
      <c r="C339" s="24"/>
      <c r="D339" s="24"/>
      <c r="E339" s="24"/>
      <c r="F339" s="21" t="s">
        <v>68</v>
      </c>
      <c r="G339" s="24"/>
    </row>
    <row r="340" customFormat="false" ht="17.15" hidden="false" customHeight="false" outlineLevel="0" collapsed="false">
      <c r="A340" s="27"/>
      <c r="B340" s="27" t="s">
        <v>69</v>
      </c>
      <c r="C340" s="27"/>
      <c r="D340" s="27"/>
      <c r="E340" s="27"/>
      <c r="F340" s="27"/>
      <c r="G340" s="27"/>
    </row>
    <row r="341" customFormat="false" ht="24.75" hidden="false" customHeight="true" outlineLevel="0" collapsed="false">
      <c r="A341" s="24"/>
      <c r="B341" s="21" t="s">
        <v>70</v>
      </c>
      <c r="C341" s="21" t="s">
        <v>129</v>
      </c>
      <c r="D341" s="21" t="s">
        <v>130</v>
      </c>
      <c r="E341" s="24" t="s">
        <v>13</v>
      </c>
      <c r="F341" s="24" t="s">
        <v>73</v>
      </c>
      <c r="G341" s="24" t="n">
        <f aca="false">G336-0</f>
        <v>53.09</v>
      </c>
    </row>
    <row r="342" customFormat="false" ht="24.75" hidden="false" customHeight="true" outlineLevel="0" collapsed="false">
      <c r="A342" s="24"/>
      <c r="B342" s="21" t="s">
        <v>74</v>
      </c>
      <c r="C342" s="21" t="s">
        <v>75</v>
      </c>
      <c r="D342" s="24" t="s">
        <v>76</v>
      </c>
      <c r="E342" s="24" t="s">
        <v>34</v>
      </c>
      <c r="F342" s="24" t="s">
        <v>77</v>
      </c>
      <c r="G342" s="24" t="n">
        <f aca="false">G338</f>
        <v>16</v>
      </c>
    </row>
    <row r="343" customFormat="false" ht="24.75" hidden="false" customHeight="true" outlineLevel="0" collapsed="false">
      <c r="A343" s="27"/>
      <c r="B343" s="27" t="s">
        <v>78</v>
      </c>
      <c r="C343" s="27"/>
      <c r="D343" s="27"/>
      <c r="E343" s="27"/>
      <c r="F343" s="27"/>
      <c r="G343" s="27"/>
    </row>
    <row r="345" customFormat="false" ht="15" hidden="false" customHeight="false" outlineLevel="0" collapsed="false">
      <c r="A345" s="22" t="s">
        <v>50</v>
      </c>
      <c r="B345" s="22" t="s">
        <v>51</v>
      </c>
      <c r="C345" s="22" t="s">
        <v>2</v>
      </c>
      <c r="D345" s="22" t="s">
        <v>3</v>
      </c>
      <c r="E345" s="22" t="s">
        <v>4</v>
      </c>
      <c r="F345" s="22" t="s">
        <v>52</v>
      </c>
      <c r="G345" s="22" t="s">
        <v>53</v>
      </c>
    </row>
    <row r="346" customFormat="false" ht="17.15" hidden="false" customHeight="false" outlineLevel="0" collapsed="false">
      <c r="A346" s="15" t="s">
        <v>195</v>
      </c>
      <c r="C346" s="15" t="s">
        <v>55</v>
      </c>
      <c r="F346" s="23" t="s">
        <v>80</v>
      </c>
    </row>
    <row r="347" customFormat="false" ht="17.15" hidden="false" customHeight="false" outlineLevel="0" collapsed="false">
      <c r="A347" s="24" t="s">
        <v>57</v>
      </c>
      <c r="B347" s="24" t="s">
        <v>58</v>
      </c>
      <c r="C347" s="24"/>
      <c r="D347" s="24"/>
      <c r="E347" s="24"/>
      <c r="F347" s="24" t="s">
        <v>196</v>
      </c>
      <c r="G347" s="25" t="n">
        <v>34.16</v>
      </c>
    </row>
    <row r="348" customFormat="false" ht="17.15" hidden="false" customHeight="false" outlineLevel="0" collapsed="false">
      <c r="A348" s="24" t="s">
        <v>60</v>
      </c>
      <c r="B348" s="24" t="s">
        <v>61</v>
      </c>
      <c r="C348" s="24"/>
      <c r="D348" s="24"/>
      <c r="E348" s="24"/>
      <c r="F348" s="24" t="s">
        <v>197</v>
      </c>
      <c r="G348" s="26" t="n">
        <f aca="false">ROUND(2*(17.08+2),3)</f>
        <v>38.16</v>
      </c>
    </row>
    <row r="349" customFormat="false" ht="17.15" hidden="false" customHeight="false" outlineLevel="0" collapsed="false">
      <c r="A349" s="24" t="s">
        <v>63</v>
      </c>
      <c r="B349" s="24" t="s">
        <v>64</v>
      </c>
      <c r="C349" s="24"/>
      <c r="D349" s="24"/>
      <c r="E349" s="24"/>
      <c r="F349" s="21" t="s">
        <v>198</v>
      </c>
      <c r="G349" s="25" t="n">
        <v>10.2</v>
      </c>
    </row>
    <row r="350" customFormat="false" ht="17.15" hidden="false" customHeight="false" outlineLevel="0" collapsed="false">
      <c r="A350" s="24" t="s">
        <v>66</v>
      </c>
      <c r="B350" s="24" t="s">
        <v>67</v>
      </c>
      <c r="C350" s="24"/>
      <c r="D350" s="24"/>
      <c r="E350" s="24"/>
      <c r="F350" s="21" t="s">
        <v>68</v>
      </c>
      <c r="G350" s="24"/>
    </row>
    <row r="351" customFormat="false" ht="17.15" hidden="false" customHeight="false" outlineLevel="0" collapsed="false">
      <c r="A351" s="27"/>
      <c r="B351" s="27" t="s">
        <v>69</v>
      </c>
      <c r="C351" s="27"/>
      <c r="D351" s="27"/>
      <c r="E351" s="27"/>
      <c r="F351" s="27"/>
      <c r="G351" s="27"/>
    </row>
    <row r="352" customFormat="false" ht="24.75" hidden="false" customHeight="true" outlineLevel="0" collapsed="false">
      <c r="A352" s="24"/>
      <c r="B352" s="21" t="s">
        <v>70</v>
      </c>
      <c r="C352" s="21" t="s">
        <v>129</v>
      </c>
      <c r="D352" s="21" t="s">
        <v>130</v>
      </c>
      <c r="E352" s="24" t="s">
        <v>13</v>
      </c>
      <c r="F352" s="24" t="s">
        <v>73</v>
      </c>
      <c r="G352" s="24" t="n">
        <f aca="false">G347-0</f>
        <v>34.16</v>
      </c>
    </row>
    <row r="353" customFormat="false" ht="24.75" hidden="false" customHeight="true" outlineLevel="0" collapsed="false">
      <c r="A353" s="24"/>
      <c r="B353" s="21" t="s">
        <v>74</v>
      </c>
      <c r="C353" s="21" t="s">
        <v>75</v>
      </c>
      <c r="D353" s="24" t="s">
        <v>76</v>
      </c>
      <c r="E353" s="24" t="s">
        <v>34</v>
      </c>
      <c r="F353" s="24" t="s">
        <v>77</v>
      </c>
      <c r="G353" s="24" t="n">
        <f aca="false">G349</f>
        <v>10.2</v>
      </c>
    </row>
    <row r="354" customFormat="false" ht="24.75" hidden="false" customHeight="true" outlineLevel="0" collapsed="false">
      <c r="A354" s="27"/>
      <c r="B354" s="27" t="s">
        <v>78</v>
      </c>
      <c r="C354" s="27"/>
      <c r="D354" s="27"/>
      <c r="E354" s="27"/>
      <c r="F354" s="27"/>
      <c r="G354" s="27"/>
    </row>
    <row r="356" customFormat="false" ht="15" hidden="false" customHeight="false" outlineLevel="0" collapsed="false">
      <c r="A356" s="22" t="s">
        <v>50</v>
      </c>
      <c r="B356" s="22" t="s">
        <v>51</v>
      </c>
      <c r="C356" s="22" t="s">
        <v>2</v>
      </c>
      <c r="D356" s="22" t="s">
        <v>3</v>
      </c>
      <c r="E356" s="22" t="s">
        <v>4</v>
      </c>
      <c r="F356" s="22" t="s">
        <v>52</v>
      </c>
      <c r="G356" s="22" t="s">
        <v>53</v>
      </c>
    </row>
    <row r="357" customFormat="false" ht="17.15" hidden="false" customHeight="false" outlineLevel="0" collapsed="false">
      <c r="A357" s="15" t="s">
        <v>199</v>
      </c>
      <c r="C357" s="15" t="s">
        <v>55</v>
      </c>
      <c r="F357" s="23" t="s">
        <v>56</v>
      </c>
    </row>
    <row r="358" customFormat="false" ht="17.15" hidden="false" customHeight="false" outlineLevel="0" collapsed="false">
      <c r="A358" s="24" t="s">
        <v>57</v>
      </c>
      <c r="B358" s="24" t="s">
        <v>58</v>
      </c>
      <c r="C358" s="24"/>
      <c r="D358" s="24"/>
      <c r="E358" s="24"/>
      <c r="F358" s="24" t="s">
        <v>200</v>
      </c>
      <c r="G358" s="25" t="n">
        <v>14.46</v>
      </c>
    </row>
    <row r="359" customFormat="false" ht="17.15" hidden="false" customHeight="false" outlineLevel="0" collapsed="false">
      <c r="A359" s="24" t="s">
        <v>60</v>
      </c>
      <c r="B359" s="24" t="s">
        <v>61</v>
      </c>
      <c r="C359" s="24"/>
      <c r="D359" s="24"/>
      <c r="E359" s="24"/>
      <c r="F359" s="24" t="s">
        <v>201</v>
      </c>
      <c r="G359" s="26" t="n">
        <f aca="false">ROUND(2*(2+7.23),3)</f>
        <v>18.46</v>
      </c>
    </row>
    <row r="360" customFormat="false" ht="17.15" hidden="false" customHeight="false" outlineLevel="0" collapsed="false">
      <c r="A360" s="24" t="s">
        <v>63</v>
      </c>
      <c r="B360" s="24" t="s">
        <v>64</v>
      </c>
      <c r="C360" s="24"/>
      <c r="D360" s="24"/>
      <c r="E360" s="24"/>
      <c r="F360" s="21" t="s">
        <v>202</v>
      </c>
      <c r="G360" s="25" t="n">
        <v>8.9</v>
      </c>
    </row>
    <row r="361" customFormat="false" ht="17.15" hidden="false" customHeight="false" outlineLevel="0" collapsed="false">
      <c r="A361" s="24" t="s">
        <v>66</v>
      </c>
      <c r="B361" s="24" t="s">
        <v>67</v>
      </c>
      <c r="C361" s="24"/>
      <c r="D361" s="24"/>
      <c r="E361" s="24"/>
      <c r="F361" s="21" t="s">
        <v>68</v>
      </c>
      <c r="G361" s="24"/>
    </row>
    <row r="362" customFormat="false" ht="17.15" hidden="false" customHeight="false" outlineLevel="0" collapsed="false">
      <c r="A362" s="27"/>
      <c r="B362" s="27" t="s">
        <v>69</v>
      </c>
      <c r="C362" s="27"/>
      <c r="D362" s="27"/>
      <c r="E362" s="27"/>
      <c r="F362" s="27"/>
      <c r="G362" s="27"/>
    </row>
    <row r="363" customFormat="false" ht="24.75" hidden="false" customHeight="true" outlineLevel="0" collapsed="false">
      <c r="A363" s="24"/>
      <c r="B363" s="21" t="s">
        <v>70</v>
      </c>
      <c r="C363" s="21" t="s">
        <v>129</v>
      </c>
      <c r="D363" s="21" t="s">
        <v>130</v>
      </c>
      <c r="E363" s="24" t="s">
        <v>13</v>
      </c>
      <c r="F363" s="24" t="s">
        <v>73</v>
      </c>
      <c r="G363" s="24" t="n">
        <f aca="false">G358-0</f>
        <v>14.46</v>
      </c>
    </row>
    <row r="364" customFormat="false" ht="24.75" hidden="false" customHeight="true" outlineLevel="0" collapsed="false">
      <c r="A364" s="24"/>
      <c r="B364" s="21" t="s">
        <v>74</v>
      </c>
      <c r="C364" s="21" t="s">
        <v>75</v>
      </c>
      <c r="D364" s="24" t="s">
        <v>76</v>
      </c>
      <c r="E364" s="24" t="s">
        <v>34</v>
      </c>
      <c r="F364" s="24" t="s">
        <v>77</v>
      </c>
      <c r="G364" s="24" t="n">
        <f aca="false">G360</f>
        <v>8.9</v>
      </c>
    </row>
    <row r="365" customFormat="false" ht="24.75" hidden="false" customHeight="true" outlineLevel="0" collapsed="false">
      <c r="A365" s="27"/>
      <c r="B365" s="27" t="s">
        <v>78</v>
      </c>
      <c r="C365" s="27"/>
      <c r="D365" s="27"/>
      <c r="E365" s="27"/>
      <c r="F365" s="27"/>
      <c r="G365" s="27"/>
    </row>
    <row r="367" customFormat="false" ht="15" hidden="false" customHeight="false" outlineLevel="0" collapsed="false">
      <c r="A367" s="22" t="s">
        <v>50</v>
      </c>
      <c r="B367" s="22" t="s">
        <v>51</v>
      </c>
      <c r="C367" s="22" t="s">
        <v>2</v>
      </c>
      <c r="D367" s="22" t="s">
        <v>3</v>
      </c>
      <c r="E367" s="22" t="s">
        <v>4</v>
      </c>
      <c r="F367" s="22" t="s">
        <v>52</v>
      </c>
      <c r="G367" s="22" t="s">
        <v>53</v>
      </c>
    </row>
    <row r="368" customFormat="false" ht="17.15" hidden="false" customHeight="false" outlineLevel="0" collapsed="false">
      <c r="A368" s="15" t="s">
        <v>203</v>
      </c>
      <c r="C368" s="15" t="s">
        <v>55</v>
      </c>
      <c r="F368" s="23" t="s">
        <v>56</v>
      </c>
    </row>
    <row r="369" customFormat="false" ht="17.15" hidden="false" customHeight="false" outlineLevel="0" collapsed="false">
      <c r="A369" s="24" t="s">
        <v>57</v>
      </c>
      <c r="B369" s="24" t="s">
        <v>58</v>
      </c>
      <c r="C369" s="24"/>
      <c r="D369" s="24"/>
      <c r="E369" s="24"/>
      <c r="F369" s="24" t="s">
        <v>204</v>
      </c>
      <c r="G369" s="25" t="n">
        <v>6.68</v>
      </c>
    </row>
    <row r="370" customFormat="false" ht="17.15" hidden="false" customHeight="false" outlineLevel="0" collapsed="false">
      <c r="A370" s="24" t="s">
        <v>60</v>
      </c>
      <c r="B370" s="24" t="s">
        <v>61</v>
      </c>
      <c r="C370" s="24"/>
      <c r="D370" s="24"/>
      <c r="E370" s="24"/>
      <c r="F370" s="24" t="s">
        <v>205</v>
      </c>
      <c r="G370" s="26" t="n">
        <f aca="false">ROUND(2*(3.68+1.815),3)</f>
        <v>10.99</v>
      </c>
    </row>
    <row r="371" customFormat="false" ht="17.15" hidden="false" customHeight="false" outlineLevel="0" collapsed="false">
      <c r="A371" s="24" t="s">
        <v>63</v>
      </c>
      <c r="B371" s="24" t="s">
        <v>64</v>
      </c>
      <c r="C371" s="24"/>
      <c r="D371" s="24"/>
      <c r="E371" s="24"/>
      <c r="F371" s="21" t="s">
        <v>206</v>
      </c>
      <c r="G371" s="25" t="n">
        <v>3</v>
      </c>
    </row>
    <row r="372" customFormat="false" ht="17.15" hidden="false" customHeight="false" outlineLevel="0" collapsed="false">
      <c r="A372" s="24" t="s">
        <v>66</v>
      </c>
      <c r="B372" s="24" t="s">
        <v>67</v>
      </c>
      <c r="C372" s="24"/>
      <c r="D372" s="24"/>
      <c r="E372" s="24"/>
      <c r="F372" s="21" t="s">
        <v>68</v>
      </c>
      <c r="G372" s="24"/>
    </row>
    <row r="373" customFormat="false" ht="17.15" hidden="false" customHeight="false" outlineLevel="0" collapsed="false">
      <c r="A373" s="27"/>
      <c r="B373" s="27" t="s">
        <v>69</v>
      </c>
      <c r="C373" s="27"/>
      <c r="D373" s="27"/>
      <c r="E373" s="27"/>
      <c r="F373" s="27"/>
      <c r="G373" s="27"/>
    </row>
    <row r="374" customFormat="false" ht="24.75" hidden="false" customHeight="true" outlineLevel="0" collapsed="false">
      <c r="A374" s="24"/>
      <c r="B374" s="21" t="s">
        <v>70</v>
      </c>
      <c r="C374" s="21" t="s">
        <v>129</v>
      </c>
      <c r="D374" s="21" t="s">
        <v>130</v>
      </c>
      <c r="E374" s="24" t="s">
        <v>13</v>
      </c>
      <c r="F374" s="24" t="s">
        <v>73</v>
      </c>
      <c r="G374" s="24" t="n">
        <f aca="false">G369-0</f>
        <v>6.68</v>
      </c>
    </row>
    <row r="375" customFormat="false" ht="24.75" hidden="false" customHeight="true" outlineLevel="0" collapsed="false">
      <c r="A375" s="24"/>
      <c r="B375" s="21" t="s">
        <v>74</v>
      </c>
      <c r="C375" s="21" t="s">
        <v>75</v>
      </c>
      <c r="D375" s="24" t="s">
        <v>76</v>
      </c>
      <c r="E375" s="24" t="s">
        <v>34</v>
      </c>
      <c r="F375" s="24" t="s">
        <v>77</v>
      </c>
      <c r="G375" s="24" t="n">
        <f aca="false">G371</f>
        <v>3</v>
      </c>
    </row>
    <row r="376" customFormat="false" ht="24.75" hidden="false" customHeight="true" outlineLevel="0" collapsed="false">
      <c r="A376" s="27"/>
      <c r="B376" s="27" t="s">
        <v>78</v>
      </c>
      <c r="C376" s="27"/>
      <c r="D376" s="27"/>
      <c r="E376" s="27"/>
      <c r="F376" s="27"/>
      <c r="G376" s="27"/>
    </row>
    <row r="378" customFormat="false" ht="15" hidden="false" customHeight="false" outlineLevel="0" collapsed="false">
      <c r="A378" s="22" t="s">
        <v>50</v>
      </c>
      <c r="B378" s="22" t="s">
        <v>51</v>
      </c>
      <c r="C378" s="22" t="s">
        <v>2</v>
      </c>
      <c r="D378" s="22" t="s">
        <v>3</v>
      </c>
      <c r="E378" s="22" t="s">
        <v>4</v>
      </c>
      <c r="F378" s="22" t="s">
        <v>52</v>
      </c>
      <c r="G378" s="22" t="s">
        <v>53</v>
      </c>
    </row>
    <row r="379" customFormat="false" ht="17.15" hidden="false" customHeight="false" outlineLevel="0" collapsed="false">
      <c r="A379" s="15" t="s">
        <v>207</v>
      </c>
      <c r="C379" s="15" t="s">
        <v>55</v>
      </c>
      <c r="F379" s="23" t="s">
        <v>80</v>
      </c>
    </row>
    <row r="380" customFormat="false" ht="17.15" hidden="false" customHeight="false" outlineLevel="0" collapsed="false">
      <c r="A380" s="24" t="s">
        <v>57</v>
      </c>
      <c r="B380" s="24" t="s">
        <v>58</v>
      </c>
      <c r="C380" s="24"/>
      <c r="D380" s="24"/>
      <c r="E380" s="24"/>
      <c r="F380" s="24" t="s">
        <v>208</v>
      </c>
      <c r="G380" s="25" t="n">
        <v>16.36</v>
      </c>
    </row>
    <row r="381" customFormat="false" ht="17.15" hidden="false" customHeight="false" outlineLevel="0" collapsed="false">
      <c r="A381" s="24" t="s">
        <v>60</v>
      </c>
      <c r="B381" s="24" t="s">
        <v>61</v>
      </c>
      <c r="C381" s="24"/>
      <c r="D381" s="24"/>
      <c r="E381" s="24"/>
      <c r="F381" s="21" t="s">
        <v>62</v>
      </c>
      <c r="G381" s="26"/>
    </row>
    <row r="382" customFormat="false" ht="17.15" hidden="false" customHeight="false" outlineLevel="0" collapsed="false">
      <c r="A382" s="24" t="s">
        <v>63</v>
      </c>
      <c r="B382" s="24" t="s">
        <v>64</v>
      </c>
      <c r="C382" s="24"/>
      <c r="D382" s="24"/>
      <c r="E382" s="24"/>
      <c r="F382" s="21" t="s">
        <v>209</v>
      </c>
      <c r="G382" s="25" t="n">
        <v>13.7</v>
      </c>
    </row>
    <row r="383" customFormat="false" ht="17.15" hidden="false" customHeight="false" outlineLevel="0" collapsed="false">
      <c r="A383" s="24" t="s">
        <v>66</v>
      </c>
      <c r="B383" s="24" t="s">
        <v>67</v>
      </c>
      <c r="C383" s="24"/>
      <c r="D383" s="24"/>
      <c r="E383" s="24"/>
      <c r="F383" s="21" t="s">
        <v>68</v>
      </c>
      <c r="G383" s="24"/>
    </row>
    <row r="384" customFormat="false" ht="17.15" hidden="false" customHeight="false" outlineLevel="0" collapsed="false">
      <c r="A384" s="27"/>
      <c r="B384" s="27" t="s">
        <v>69</v>
      </c>
      <c r="C384" s="27"/>
      <c r="D384" s="27"/>
      <c r="E384" s="27"/>
      <c r="F384" s="27"/>
      <c r="G384" s="27"/>
    </row>
    <row r="385" customFormat="false" ht="24.75" hidden="false" customHeight="true" outlineLevel="0" collapsed="false">
      <c r="A385" s="24"/>
      <c r="B385" s="21" t="s">
        <v>70</v>
      </c>
      <c r="C385" s="21" t="s">
        <v>129</v>
      </c>
      <c r="D385" s="21" t="s">
        <v>130</v>
      </c>
      <c r="E385" s="24" t="s">
        <v>13</v>
      </c>
      <c r="F385" s="24" t="s">
        <v>73</v>
      </c>
      <c r="G385" s="24" t="n">
        <f aca="false">G380-0</f>
        <v>16.36</v>
      </c>
    </row>
    <row r="386" customFormat="false" ht="24.75" hidden="false" customHeight="true" outlineLevel="0" collapsed="false">
      <c r="A386" s="24"/>
      <c r="B386" s="21" t="s">
        <v>74</v>
      </c>
      <c r="C386" s="21" t="s">
        <v>75</v>
      </c>
      <c r="D386" s="24" t="s">
        <v>76</v>
      </c>
      <c r="E386" s="24" t="s">
        <v>34</v>
      </c>
      <c r="F386" s="24" t="s">
        <v>77</v>
      </c>
      <c r="G386" s="24" t="n">
        <f aca="false">G382</f>
        <v>13.7</v>
      </c>
    </row>
    <row r="387" customFormat="false" ht="24.75" hidden="false" customHeight="true" outlineLevel="0" collapsed="false">
      <c r="A387" s="27"/>
      <c r="B387" s="27" t="s">
        <v>78</v>
      </c>
      <c r="C387" s="27"/>
      <c r="D387" s="27"/>
      <c r="E387" s="27"/>
      <c r="F387" s="27"/>
      <c r="G387" s="27"/>
    </row>
    <row r="389" customFormat="false" ht="15" hidden="false" customHeight="false" outlineLevel="0" collapsed="false">
      <c r="A389" s="22" t="s">
        <v>50</v>
      </c>
      <c r="B389" s="22" t="s">
        <v>51</v>
      </c>
      <c r="C389" s="22" t="s">
        <v>2</v>
      </c>
      <c r="D389" s="22" t="s">
        <v>3</v>
      </c>
      <c r="E389" s="22" t="s">
        <v>4</v>
      </c>
      <c r="F389" s="22" t="s">
        <v>52</v>
      </c>
      <c r="G389" s="22" t="s">
        <v>53</v>
      </c>
    </row>
    <row r="390" customFormat="false" ht="17.15" hidden="false" customHeight="false" outlineLevel="0" collapsed="false">
      <c r="A390" s="15" t="s">
        <v>210</v>
      </c>
      <c r="C390" s="15" t="s">
        <v>55</v>
      </c>
      <c r="F390" s="23" t="s">
        <v>80</v>
      </c>
    </row>
    <row r="391" customFormat="false" ht="17.15" hidden="false" customHeight="false" outlineLevel="0" collapsed="false">
      <c r="A391" s="24" t="s">
        <v>57</v>
      </c>
      <c r="B391" s="24" t="s">
        <v>58</v>
      </c>
      <c r="C391" s="24"/>
      <c r="D391" s="24"/>
      <c r="E391" s="24"/>
      <c r="F391" s="24" t="s">
        <v>211</v>
      </c>
      <c r="G391" s="25" t="n">
        <v>129.05</v>
      </c>
    </row>
    <row r="392" customFormat="false" ht="17.15" hidden="false" customHeight="false" outlineLevel="0" collapsed="false">
      <c r="A392" s="24" t="s">
        <v>60</v>
      </c>
      <c r="B392" s="24" t="s">
        <v>61</v>
      </c>
      <c r="C392" s="24"/>
      <c r="D392" s="24"/>
      <c r="E392" s="24"/>
      <c r="F392" s="21" t="s">
        <v>62</v>
      </c>
      <c r="G392" s="26"/>
    </row>
    <row r="393" customFormat="false" ht="17.15" hidden="false" customHeight="false" outlineLevel="0" collapsed="false">
      <c r="A393" s="24" t="s">
        <v>63</v>
      </c>
      <c r="B393" s="24" t="s">
        <v>64</v>
      </c>
      <c r="C393" s="24"/>
      <c r="D393" s="24"/>
      <c r="E393" s="24"/>
      <c r="F393" s="21" t="s">
        <v>212</v>
      </c>
      <c r="G393" s="25" t="n">
        <v>18.3</v>
      </c>
    </row>
    <row r="394" customFormat="false" ht="17.15" hidden="false" customHeight="false" outlineLevel="0" collapsed="false">
      <c r="A394" s="24" t="s">
        <v>66</v>
      </c>
      <c r="B394" s="24" t="s">
        <v>67</v>
      </c>
      <c r="C394" s="24"/>
      <c r="D394" s="24"/>
      <c r="E394" s="24"/>
      <c r="F394" s="21" t="s">
        <v>68</v>
      </c>
      <c r="G394" s="24"/>
    </row>
    <row r="395" customFormat="false" ht="17.15" hidden="false" customHeight="false" outlineLevel="0" collapsed="false">
      <c r="A395" s="27"/>
      <c r="B395" s="27" t="s">
        <v>69</v>
      </c>
      <c r="C395" s="27"/>
      <c r="D395" s="27"/>
      <c r="E395" s="27"/>
      <c r="F395" s="27"/>
      <c r="G395" s="27"/>
    </row>
    <row r="396" customFormat="false" ht="24.75" hidden="false" customHeight="true" outlineLevel="0" collapsed="false">
      <c r="A396" s="24"/>
      <c r="B396" s="21" t="s">
        <v>70</v>
      </c>
      <c r="C396" s="21" t="s">
        <v>152</v>
      </c>
      <c r="D396" s="21" t="s">
        <v>130</v>
      </c>
      <c r="E396" s="24" t="s">
        <v>13</v>
      </c>
      <c r="F396" s="24" t="s">
        <v>73</v>
      </c>
      <c r="G396" s="24" t="n">
        <f aca="false">G391-0</f>
        <v>129.05</v>
      </c>
    </row>
    <row r="397" customFormat="false" ht="24.75" hidden="false" customHeight="true" outlineLevel="0" collapsed="false">
      <c r="A397" s="24"/>
      <c r="B397" s="21" t="s">
        <v>74</v>
      </c>
      <c r="C397" s="21" t="s">
        <v>75</v>
      </c>
      <c r="D397" s="24" t="s">
        <v>76</v>
      </c>
      <c r="E397" s="24" t="s">
        <v>34</v>
      </c>
      <c r="F397" s="24" t="s">
        <v>77</v>
      </c>
      <c r="G397" s="24" t="n">
        <f aca="false">G393</f>
        <v>18.3</v>
      </c>
    </row>
    <row r="398" customFormat="false" ht="24.75" hidden="false" customHeight="true" outlineLevel="0" collapsed="false">
      <c r="A398" s="27"/>
      <c r="B398" s="27" t="s">
        <v>78</v>
      </c>
      <c r="C398" s="27"/>
      <c r="D398" s="27"/>
      <c r="E398" s="27"/>
      <c r="F398" s="27"/>
      <c r="G398" s="27"/>
    </row>
  </sheetData>
  <mergeCells count="36">
    <mergeCell ref="C10:F10"/>
    <mergeCell ref="C21:F21"/>
    <mergeCell ref="C32:F32"/>
    <mergeCell ref="C43:F43"/>
    <mergeCell ref="C54:F54"/>
    <mergeCell ref="C65:F65"/>
    <mergeCell ref="C76:F76"/>
    <mergeCell ref="C87:F87"/>
    <mergeCell ref="C98:F98"/>
    <mergeCell ref="C109:F109"/>
    <mergeCell ref="C120:F120"/>
    <mergeCell ref="C131:F131"/>
    <mergeCell ref="C142:F142"/>
    <mergeCell ref="C153:F153"/>
    <mergeCell ref="C164:F164"/>
    <mergeCell ref="C175:F175"/>
    <mergeCell ref="C186:F186"/>
    <mergeCell ref="C197:F197"/>
    <mergeCell ref="C208:F208"/>
    <mergeCell ref="C219:F219"/>
    <mergeCell ref="C230:F230"/>
    <mergeCell ref="C241:F241"/>
    <mergeCell ref="C252:F252"/>
    <mergeCell ref="C263:F263"/>
    <mergeCell ref="C274:F274"/>
    <mergeCell ref="C285:F285"/>
    <mergeCell ref="C296:F296"/>
    <mergeCell ref="C307:F307"/>
    <mergeCell ref="C318:F318"/>
    <mergeCell ref="C329:F329"/>
    <mergeCell ref="C340:F340"/>
    <mergeCell ref="C351:F351"/>
    <mergeCell ref="C362:F362"/>
    <mergeCell ref="C373:F373"/>
    <mergeCell ref="C384:F384"/>
    <mergeCell ref="C395:F3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70"/>
    <col collapsed="false" customWidth="true" hidden="false" outlineLevel="0" max="10" min="10" style="0" width="8"/>
    <col collapsed="false" customWidth="true" hidden="false" outlineLevel="0" max="11" min="11" style="0" width="45"/>
    <col collapsed="false" customWidth="true" hidden="false" outlineLevel="0" max="12" min="12" style="0" width="12"/>
    <col collapsed="false" customWidth="true" hidden="false" outlineLevel="0" max="13" min="13" style="0" width="9"/>
  </cols>
  <sheetData>
    <row r="1" customFormat="false" ht="20.1" hidden="false" customHeight="false" outlineLevel="0" collapsed="false">
      <c r="A1" s="1" t="s">
        <v>213</v>
      </c>
    </row>
    <row r="2" customFormat="false" ht="17.15" hidden="false" customHeight="false" outlineLevel="0" collapsed="false">
      <c r="A2" s="2" t="s">
        <v>214</v>
      </c>
    </row>
    <row r="4" customFormat="false" ht="29.85" hidden="false" customHeight="false" outlineLevel="0" collapsed="false">
      <c r="A4" s="4" t="s">
        <v>215</v>
      </c>
      <c r="B4" s="3" t="s">
        <v>216</v>
      </c>
      <c r="C4" s="3" t="s">
        <v>217</v>
      </c>
      <c r="D4" s="3" t="s">
        <v>218</v>
      </c>
      <c r="E4" s="3" t="s">
        <v>219</v>
      </c>
      <c r="F4" s="3" t="s">
        <v>220</v>
      </c>
      <c r="G4" s="3" t="s">
        <v>221</v>
      </c>
      <c r="H4" s="3" t="s">
        <v>222</v>
      </c>
      <c r="I4" s="3" t="s">
        <v>223</v>
      </c>
      <c r="J4" s="3" t="s">
        <v>224</v>
      </c>
      <c r="K4" s="3" t="s">
        <v>225</v>
      </c>
      <c r="L4" s="3" t="s">
        <v>226</v>
      </c>
      <c r="M4" s="3" t="s">
        <v>227</v>
      </c>
    </row>
    <row r="5" customFormat="false" ht="60" hidden="false" customHeight="true" outlineLevel="0" collapsed="false">
      <c r="A5" s="28" t="n">
        <v>1</v>
      </c>
      <c r="B5" s="28" t="s">
        <v>228</v>
      </c>
      <c r="C5" s="29" t="s">
        <v>229</v>
      </c>
      <c r="D5" s="28" t="s">
        <v>230</v>
      </c>
      <c r="E5" s="30" t="n">
        <v>11160</v>
      </c>
      <c r="F5" s="30" t="n">
        <v>12000</v>
      </c>
      <c r="G5" s="31" t="n">
        <v>124.05</v>
      </c>
      <c r="H5" s="30" t="n">
        <v>38.14</v>
      </c>
      <c r="I5" s="28" t="s">
        <v>231</v>
      </c>
      <c r="J5" s="28" t="s">
        <v>232</v>
      </c>
      <c r="K5" s="29" t="s">
        <v>233</v>
      </c>
      <c r="L5" s="32" t="n">
        <v>135.11</v>
      </c>
      <c r="M5" s="33" t="n">
        <f aca="false">IFERROR((G5-L5)/L5,"")</f>
        <v>-0.0818592258160019</v>
      </c>
    </row>
    <row r="6" customFormat="false" ht="60" hidden="false" customHeight="true" outlineLevel="0" collapsed="false">
      <c r="A6" s="28" t="n">
        <v>2</v>
      </c>
      <c r="B6" s="28" t="s">
        <v>228</v>
      </c>
      <c r="C6" s="29" t="s">
        <v>234</v>
      </c>
      <c r="D6" s="28" t="s">
        <v>235</v>
      </c>
      <c r="E6" s="30" t="n">
        <v>6930</v>
      </c>
      <c r="F6" s="30" t="n">
        <v>4560</v>
      </c>
      <c r="G6" s="31" t="n">
        <v>35.43</v>
      </c>
      <c r="H6" s="30" t="n">
        <v>25.5</v>
      </c>
      <c r="I6" s="28" t="s">
        <v>236</v>
      </c>
      <c r="J6" s="28" t="s">
        <v>237</v>
      </c>
      <c r="K6" s="28" t="s">
        <v>238</v>
      </c>
      <c r="L6" s="32" t="n">
        <v>34.79</v>
      </c>
      <c r="M6" s="33" t="n">
        <f aca="false">IFERROR((G6-L6)/L6,"")</f>
        <v>0.0183960908306985</v>
      </c>
    </row>
    <row r="7" customFormat="false" ht="60" hidden="false" customHeight="true" outlineLevel="0" collapsed="false">
      <c r="A7" s="28" t="n">
        <v>3</v>
      </c>
      <c r="B7" s="28" t="s">
        <v>228</v>
      </c>
      <c r="C7" s="29" t="s">
        <v>239</v>
      </c>
      <c r="D7" s="28" t="s">
        <v>235</v>
      </c>
      <c r="E7" s="30" t="n">
        <v>4100</v>
      </c>
      <c r="F7" s="30" t="n">
        <v>2950</v>
      </c>
      <c r="G7" s="31" t="n">
        <v>12.09</v>
      </c>
      <c r="H7" s="30" t="n">
        <v>13.1</v>
      </c>
      <c r="I7" s="28" t="s">
        <v>240</v>
      </c>
      <c r="J7" s="28" t="s">
        <v>241</v>
      </c>
      <c r="K7" s="28" t="s">
        <v>242</v>
      </c>
      <c r="L7" s="32" t="n">
        <v>11.74</v>
      </c>
      <c r="M7" s="33" t="n">
        <f aca="false">IFERROR((G7-L7)/L7,"")</f>
        <v>0.0298126064735945</v>
      </c>
    </row>
    <row r="8" customFormat="false" ht="60" hidden="false" customHeight="true" outlineLevel="0" collapsed="false">
      <c r="A8" s="28" t="n">
        <v>4</v>
      </c>
      <c r="B8" s="28" t="s">
        <v>228</v>
      </c>
      <c r="C8" s="29" t="s">
        <v>243</v>
      </c>
      <c r="D8" s="28" t="s">
        <v>235</v>
      </c>
      <c r="E8" s="30" t="n">
        <v>2000</v>
      </c>
      <c r="F8" s="30" t="n">
        <v>2050</v>
      </c>
      <c r="G8" s="31" t="n">
        <v>4.1</v>
      </c>
      <c r="H8" s="30" t="n">
        <v>7.16</v>
      </c>
      <c r="I8" s="28" t="s">
        <v>244</v>
      </c>
      <c r="J8" s="28" t="s">
        <v>232</v>
      </c>
      <c r="K8" s="28" t="s">
        <v>242</v>
      </c>
      <c r="L8" s="34"/>
      <c r="M8" s="33"/>
    </row>
    <row r="9" customFormat="false" ht="60" hidden="false" customHeight="true" outlineLevel="0" collapsed="false">
      <c r="A9" s="28" t="n">
        <v>5</v>
      </c>
      <c r="B9" s="28" t="s">
        <v>228</v>
      </c>
      <c r="C9" s="29" t="s">
        <v>245</v>
      </c>
      <c r="D9" s="28" t="s">
        <v>235</v>
      </c>
      <c r="E9" s="30" t="n">
        <v>1700</v>
      </c>
      <c r="F9" s="30" t="n">
        <v>2850</v>
      </c>
      <c r="G9" s="31" t="n">
        <v>4.84</v>
      </c>
      <c r="H9" s="30" t="n">
        <v>8.1</v>
      </c>
      <c r="I9" s="28" t="s">
        <v>246</v>
      </c>
      <c r="J9" s="28" t="s">
        <v>237</v>
      </c>
      <c r="K9" s="28" t="s">
        <v>242</v>
      </c>
      <c r="L9" s="32" t="n">
        <v>5.17</v>
      </c>
      <c r="M9" s="33" t="n">
        <f aca="false">IFERROR((G9-L9)/L9,"")</f>
        <v>-0.0638297872340426</v>
      </c>
    </row>
    <row r="10" customFormat="false" ht="60" hidden="false" customHeight="true" outlineLevel="0" collapsed="false">
      <c r="A10" s="28" t="n">
        <v>6</v>
      </c>
      <c r="B10" s="28" t="s">
        <v>228</v>
      </c>
      <c r="C10" s="29" t="s">
        <v>247</v>
      </c>
      <c r="D10" s="28" t="s">
        <v>248</v>
      </c>
      <c r="E10" s="30" t="n">
        <v>2849</v>
      </c>
      <c r="F10" s="30" t="n">
        <v>2495</v>
      </c>
      <c r="G10" s="31" t="n">
        <v>7.11</v>
      </c>
      <c r="H10" s="30" t="n">
        <v>8.19</v>
      </c>
      <c r="I10" s="28" t="s">
        <v>249</v>
      </c>
      <c r="J10" s="28" t="s">
        <v>232</v>
      </c>
      <c r="K10" s="28" t="s">
        <v>242</v>
      </c>
      <c r="L10" s="34"/>
      <c r="M10" s="33"/>
    </row>
    <row r="11" customFormat="false" ht="60" hidden="false" customHeight="true" outlineLevel="0" collapsed="false">
      <c r="A11" s="28" t="n">
        <v>7</v>
      </c>
      <c r="B11" s="28" t="s">
        <v>228</v>
      </c>
      <c r="C11" s="29" t="s">
        <v>250</v>
      </c>
      <c r="D11" s="28" t="s">
        <v>248</v>
      </c>
      <c r="E11" s="30" t="n">
        <v>7845</v>
      </c>
      <c r="F11" s="30" t="n">
        <v>5450</v>
      </c>
      <c r="G11" s="31" t="n">
        <v>31.57</v>
      </c>
      <c r="H11" s="30" t="n">
        <v>22.22</v>
      </c>
      <c r="I11" s="28" t="s">
        <v>251</v>
      </c>
      <c r="J11" s="28" t="s">
        <v>232</v>
      </c>
      <c r="K11" s="28" t="s">
        <v>242</v>
      </c>
      <c r="L11" s="32" t="n">
        <v>32.9</v>
      </c>
      <c r="M11" s="33" t="n">
        <f aca="false">IFERROR((G11-L11)/L11,"")</f>
        <v>-0.0404255319148936</v>
      </c>
    </row>
    <row r="12" customFormat="false" ht="60" hidden="false" customHeight="true" outlineLevel="0" collapsed="false">
      <c r="A12" s="28" t="n">
        <v>8</v>
      </c>
      <c r="B12" s="28" t="s">
        <v>252</v>
      </c>
      <c r="C12" s="29" t="s">
        <v>253</v>
      </c>
      <c r="D12" s="28" t="s">
        <v>254</v>
      </c>
      <c r="E12" s="30" t="n">
        <v>2196</v>
      </c>
      <c r="F12" s="30" t="n">
        <v>4045</v>
      </c>
      <c r="G12" s="31" t="n">
        <v>8.55</v>
      </c>
      <c r="H12" s="30" t="n">
        <v>11.5</v>
      </c>
      <c r="I12" s="28" t="s">
        <v>255</v>
      </c>
      <c r="J12" s="28" t="s">
        <v>232</v>
      </c>
      <c r="K12" s="28" t="s">
        <v>256</v>
      </c>
      <c r="L12" s="32" t="n">
        <v>8.23</v>
      </c>
      <c r="M12" s="33" t="n">
        <f aca="false">IFERROR((G12-L12)/L12,"")</f>
        <v>0.0388821385176185</v>
      </c>
    </row>
    <row r="13" customFormat="false" ht="60" hidden="false" customHeight="true" outlineLevel="0" collapsed="false">
      <c r="A13" s="28" t="n">
        <v>9</v>
      </c>
      <c r="B13" s="28" t="s">
        <v>252</v>
      </c>
      <c r="C13" s="29" t="s">
        <v>257</v>
      </c>
      <c r="D13" s="28" t="s">
        <v>254</v>
      </c>
      <c r="E13" s="30" t="n">
        <v>3205</v>
      </c>
      <c r="F13" s="30" t="n">
        <v>3900</v>
      </c>
      <c r="G13" s="31" t="n">
        <v>12.29</v>
      </c>
      <c r="H13" s="30" t="n">
        <v>5.13</v>
      </c>
      <c r="I13" s="28" t="s">
        <v>258</v>
      </c>
      <c r="J13" s="28" t="s">
        <v>232</v>
      </c>
      <c r="K13" s="29" t="s">
        <v>259</v>
      </c>
      <c r="L13" s="32" t="n">
        <v>12.39</v>
      </c>
      <c r="M13" s="33" t="n">
        <f aca="false">IFERROR((G13-L13)/L13,"")</f>
        <v>-0.00807102502017768</v>
      </c>
    </row>
    <row r="14" customFormat="false" ht="60" hidden="false" customHeight="true" outlineLevel="0" collapsed="false">
      <c r="A14" s="28" t="n">
        <v>10</v>
      </c>
      <c r="B14" s="28" t="s">
        <v>252</v>
      </c>
      <c r="C14" s="29" t="s">
        <v>260</v>
      </c>
      <c r="D14" s="28" t="s">
        <v>254</v>
      </c>
      <c r="E14" s="30" t="n">
        <v>3203</v>
      </c>
      <c r="F14" s="30" t="n">
        <v>3900</v>
      </c>
      <c r="G14" s="31" t="n">
        <v>12.49</v>
      </c>
      <c r="H14" s="30" t="n">
        <v>0</v>
      </c>
      <c r="I14" s="28" t="s">
        <v>261</v>
      </c>
      <c r="J14" s="28" t="s">
        <v>232</v>
      </c>
      <c r="K14" s="29" t="s">
        <v>262</v>
      </c>
      <c r="L14" s="32" t="n">
        <v>13.15</v>
      </c>
      <c r="M14" s="33" t="n">
        <f aca="false">IFERROR((G14-L14)/L14,"")</f>
        <v>-0.0501901140684411</v>
      </c>
    </row>
    <row r="15" customFormat="false" ht="60" hidden="false" customHeight="true" outlineLevel="0" collapsed="false">
      <c r="A15" s="28" t="n">
        <v>11</v>
      </c>
      <c r="B15" s="28" t="s">
        <v>252</v>
      </c>
      <c r="C15" s="29" t="s">
        <v>263</v>
      </c>
      <c r="D15" s="28" t="s">
        <v>254</v>
      </c>
      <c r="E15" s="30" t="n">
        <v>3203</v>
      </c>
      <c r="F15" s="30" t="n">
        <v>3900</v>
      </c>
      <c r="G15" s="31" t="n">
        <v>12.28</v>
      </c>
      <c r="H15" s="30" t="n">
        <v>3.35</v>
      </c>
      <c r="I15" s="28" t="s">
        <v>264</v>
      </c>
      <c r="J15" s="28" t="s">
        <v>232</v>
      </c>
      <c r="K15" s="29" t="s">
        <v>265</v>
      </c>
      <c r="L15" s="32" t="n">
        <v>12.84</v>
      </c>
      <c r="M15" s="33" t="n">
        <f aca="false">IFERROR((G15-L15)/L15,"")</f>
        <v>-0.0436137071651091</v>
      </c>
    </row>
    <row r="16" customFormat="false" ht="60" hidden="false" customHeight="true" outlineLevel="0" collapsed="false">
      <c r="A16" s="28" t="n">
        <v>12</v>
      </c>
      <c r="B16" s="28" t="s">
        <v>252</v>
      </c>
      <c r="C16" s="29" t="s">
        <v>266</v>
      </c>
      <c r="D16" s="28" t="s">
        <v>235</v>
      </c>
      <c r="E16" s="30" t="n">
        <v>1673</v>
      </c>
      <c r="F16" s="30" t="n">
        <v>3290</v>
      </c>
      <c r="G16" s="31" t="n">
        <v>5.5</v>
      </c>
      <c r="H16" s="30" t="n">
        <v>8.95</v>
      </c>
      <c r="I16" s="28" t="s">
        <v>267</v>
      </c>
      <c r="J16" s="28" t="s">
        <v>232</v>
      </c>
      <c r="K16" s="28" t="s">
        <v>256</v>
      </c>
      <c r="L16" s="32" t="n">
        <v>4.87</v>
      </c>
      <c r="M16" s="33" t="n">
        <f aca="false">IFERROR((G16-L16)/L16,"")</f>
        <v>0.129363449691992</v>
      </c>
    </row>
    <row r="17" customFormat="false" ht="60" hidden="false" customHeight="true" outlineLevel="0" collapsed="false">
      <c r="A17" s="28" t="n">
        <v>13</v>
      </c>
      <c r="B17" s="28" t="s">
        <v>252</v>
      </c>
      <c r="C17" s="28" t="s">
        <v>268</v>
      </c>
      <c r="D17" s="28" t="s">
        <v>269</v>
      </c>
      <c r="E17" s="30" t="n">
        <v>1395</v>
      </c>
      <c r="F17" s="30" t="n">
        <v>4531</v>
      </c>
      <c r="G17" s="31" t="n">
        <v>6.32</v>
      </c>
      <c r="H17" s="30" t="n">
        <v>9.97</v>
      </c>
      <c r="I17" s="28" t="s">
        <v>270</v>
      </c>
      <c r="J17" s="28" t="s">
        <v>241</v>
      </c>
      <c r="K17" s="28" t="s">
        <v>256</v>
      </c>
      <c r="L17" s="34"/>
      <c r="M17" s="33"/>
    </row>
    <row r="18" customFormat="false" ht="60" hidden="false" customHeight="true" outlineLevel="0" collapsed="false">
      <c r="A18" s="28" t="n">
        <v>14</v>
      </c>
      <c r="B18" s="28" t="s">
        <v>252</v>
      </c>
      <c r="C18" s="28" t="s">
        <v>271</v>
      </c>
      <c r="D18" s="28" t="s">
        <v>269</v>
      </c>
      <c r="E18" s="30" t="n">
        <v>1600</v>
      </c>
      <c r="F18" s="30" t="n">
        <v>9753</v>
      </c>
      <c r="G18" s="31" t="n">
        <v>17.47</v>
      </c>
      <c r="H18" s="30" t="n">
        <v>14.75</v>
      </c>
      <c r="I18" s="28" t="s">
        <v>272</v>
      </c>
      <c r="J18" s="28" t="s">
        <v>237</v>
      </c>
      <c r="K18" s="28" t="s">
        <v>256</v>
      </c>
      <c r="L18" s="34"/>
      <c r="M18" s="33"/>
    </row>
    <row r="19" customFormat="false" ht="60" hidden="false" customHeight="true" outlineLevel="0" collapsed="false">
      <c r="A19" s="28" t="n">
        <v>15</v>
      </c>
      <c r="B19" s="28" t="s">
        <v>252</v>
      </c>
      <c r="C19" s="28" t="s">
        <v>273</v>
      </c>
      <c r="D19" s="28" t="s">
        <v>269</v>
      </c>
      <c r="E19" s="30" t="n">
        <v>12410</v>
      </c>
      <c r="F19" s="30" t="n">
        <v>2000</v>
      </c>
      <c r="G19" s="31" t="n">
        <v>24.82</v>
      </c>
      <c r="H19" s="30" t="n">
        <v>11.2</v>
      </c>
      <c r="I19" s="28" t="s">
        <v>274</v>
      </c>
      <c r="J19" s="28" t="s">
        <v>237</v>
      </c>
      <c r="K19" s="29" t="s">
        <v>275</v>
      </c>
      <c r="L19" s="34"/>
      <c r="M19" s="33"/>
    </row>
    <row r="20" customFormat="false" ht="60" hidden="false" customHeight="true" outlineLevel="0" collapsed="false">
      <c r="A20" s="28" t="n">
        <v>16</v>
      </c>
      <c r="B20" s="28" t="s">
        <v>252</v>
      </c>
      <c r="C20" s="28" t="s">
        <v>276</v>
      </c>
      <c r="D20" s="28" t="s">
        <v>269</v>
      </c>
      <c r="E20" s="30" t="n">
        <v>1600</v>
      </c>
      <c r="F20" s="30" t="n">
        <v>7400</v>
      </c>
      <c r="G20" s="31" t="n">
        <v>11.84</v>
      </c>
      <c r="H20" s="30" t="n">
        <v>6.5</v>
      </c>
      <c r="I20" s="28" t="s">
        <v>277</v>
      </c>
      <c r="J20" s="28" t="s">
        <v>237</v>
      </c>
      <c r="K20" s="29" t="s">
        <v>278</v>
      </c>
      <c r="L20" s="34"/>
      <c r="M20" s="33"/>
    </row>
    <row r="21" customFormat="false" ht="60" hidden="false" customHeight="true" outlineLevel="0" collapsed="false">
      <c r="A21" s="28" t="n">
        <v>17</v>
      </c>
      <c r="B21" s="28" t="s">
        <v>252</v>
      </c>
      <c r="C21" s="28" t="s">
        <v>279</v>
      </c>
      <c r="D21" s="28" t="s">
        <v>269</v>
      </c>
      <c r="E21" s="30"/>
      <c r="F21" s="30"/>
      <c r="G21" s="31" t="n">
        <v>27.71</v>
      </c>
      <c r="H21" s="30" t="n">
        <v>20.3</v>
      </c>
      <c r="I21" s="28" t="s">
        <v>280</v>
      </c>
      <c r="J21" s="28" t="s">
        <v>237</v>
      </c>
      <c r="K21" s="28" t="s">
        <v>281</v>
      </c>
      <c r="L21" s="34"/>
      <c r="M21" s="33"/>
    </row>
    <row r="22" customFormat="false" ht="60" hidden="false" customHeight="true" outlineLevel="0" collapsed="false">
      <c r="A22" s="28" t="n">
        <v>18</v>
      </c>
      <c r="B22" s="28" t="s">
        <v>252</v>
      </c>
      <c r="C22" s="29" t="s">
        <v>282</v>
      </c>
      <c r="D22" s="28" t="s">
        <v>269</v>
      </c>
      <c r="E22" s="30" t="n">
        <v>3490</v>
      </c>
      <c r="F22" s="30" t="n">
        <v>7170</v>
      </c>
      <c r="G22" s="31" t="n">
        <v>25.02</v>
      </c>
      <c r="H22" s="30" t="n">
        <v>6.98</v>
      </c>
      <c r="I22" s="28" t="s">
        <v>283</v>
      </c>
      <c r="J22" s="28" t="s">
        <v>232</v>
      </c>
      <c r="K22" s="28" t="s">
        <v>256</v>
      </c>
      <c r="L22" s="32" t="n">
        <v>25.7</v>
      </c>
      <c r="M22" s="33" t="n">
        <f aca="false">IFERROR((G22-L22)/L22,"")</f>
        <v>-0.0264591439688716</v>
      </c>
    </row>
    <row r="23" customFormat="false" ht="60" hidden="false" customHeight="true" outlineLevel="0" collapsed="false">
      <c r="A23" s="28" t="n">
        <v>19</v>
      </c>
      <c r="B23" s="28" t="s">
        <v>252</v>
      </c>
      <c r="C23" s="28" t="s">
        <v>284</v>
      </c>
      <c r="D23" s="28" t="s">
        <v>285</v>
      </c>
      <c r="E23" s="30" t="n">
        <v>7200</v>
      </c>
      <c r="F23" s="30" t="n">
        <v>19150</v>
      </c>
      <c r="G23" s="31" t="n">
        <v>162.93</v>
      </c>
      <c r="H23" s="30" t="n">
        <v>37.1</v>
      </c>
      <c r="I23" s="28" t="s">
        <v>286</v>
      </c>
      <c r="J23" s="28" t="s">
        <v>232</v>
      </c>
      <c r="K23" s="29" t="s">
        <v>287</v>
      </c>
      <c r="L23" s="34"/>
      <c r="M23" s="33"/>
    </row>
    <row r="24" customFormat="false" ht="60" hidden="false" customHeight="true" outlineLevel="0" collapsed="false">
      <c r="A24" s="28" t="n">
        <v>20</v>
      </c>
      <c r="B24" s="28" t="s">
        <v>252</v>
      </c>
      <c r="C24" s="28" t="s">
        <v>288</v>
      </c>
      <c r="D24" s="28" t="s">
        <v>285</v>
      </c>
      <c r="E24" s="30" t="n">
        <v>7178</v>
      </c>
      <c r="F24" s="30" t="n">
        <v>19150</v>
      </c>
      <c r="G24" s="31" t="n">
        <v>142.55</v>
      </c>
      <c r="H24" s="30" t="n">
        <v>30</v>
      </c>
      <c r="I24" s="28" t="s">
        <v>289</v>
      </c>
      <c r="J24" s="28" t="s">
        <v>232</v>
      </c>
      <c r="K24" s="29" t="s">
        <v>290</v>
      </c>
      <c r="L24" s="34"/>
      <c r="M24" s="33"/>
    </row>
    <row r="25" customFormat="false" ht="60" hidden="false" customHeight="true" outlineLevel="0" collapsed="false">
      <c r="A25" s="28" t="n">
        <v>21</v>
      </c>
      <c r="B25" s="28" t="s">
        <v>291</v>
      </c>
      <c r="C25" s="29" t="s">
        <v>292</v>
      </c>
      <c r="D25" s="28" t="s">
        <v>230</v>
      </c>
      <c r="E25" s="30" t="n">
        <v>5250</v>
      </c>
      <c r="F25" s="30" t="n">
        <v>4890</v>
      </c>
      <c r="G25" s="31" t="n">
        <v>30.16</v>
      </c>
      <c r="H25" s="30" t="n">
        <v>17.6</v>
      </c>
      <c r="I25" s="28" t="s">
        <v>293</v>
      </c>
      <c r="J25" s="28" t="s">
        <v>232</v>
      </c>
      <c r="K25" s="29" t="s">
        <v>294</v>
      </c>
      <c r="L25" s="32" t="n">
        <v>29.07</v>
      </c>
      <c r="M25" s="33" t="n">
        <f aca="false">IFERROR((G25-L25)/L25,"")</f>
        <v>0.0374957000343997</v>
      </c>
    </row>
    <row r="26" customFormat="false" ht="60" hidden="false" customHeight="true" outlineLevel="0" collapsed="false">
      <c r="A26" s="28" t="n">
        <v>22</v>
      </c>
      <c r="B26" s="28" t="s">
        <v>291</v>
      </c>
      <c r="C26" s="29" t="s">
        <v>295</v>
      </c>
      <c r="D26" s="28" t="s">
        <v>230</v>
      </c>
      <c r="E26" s="30" t="n">
        <v>5600</v>
      </c>
      <c r="F26" s="30" t="n">
        <v>3660</v>
      </c>
      <c r="G26" s="31" t="n">
        <v>20.5</v>
      </c>
      <c r="H26" s="30" t="n">
        <v>13.5</v>
      </c>
      <c r="I26" s="28" t="s">
        <v>296</v>
      </c>
      <c r="J26" s="28" t="s">
        <v>237</v>
      </c>
      <c r="K26" s="28" t="s">
        <v>256</v>
      </c>
      <c r="L26" s="32" t="n">
        <v>19.55</v>
      </c>
      <c r="M26" s="33" t="n">
        <f aca="false">IFERROR((G26-L26)/L26,"")</f>
        <v>0.0485933503836317</v>
      </c>
    </row>
    <row r="27" customFormat="false" ht="60" hidden="false" customHeight="true" outlineLevel="0" collapsed="false">
      <c r="A27" s="28" t="n">
        <v>23</v>
      </c>
      <c r="B27" s="28" t="s">
        <v>291</v>
      </c>
      <c r="C27" s="29" t="s">
        <v>297</v>
      </c>
      <c r="D27" s="28" t="s">
        <v>230</v>
      </c>
      <c r="E27" s="30" t="n">
        <v>3384</v>
      </c>
      <c r="F27" s="30" t="n">
        <v>4445</v>
      </c>
      <c r="G27" s="31" t="n">
        <v>14.83</v>
      </c>
      <c r="H27" s="30" t="n">
        <v>9.6</v>
      </c>
      <c r="I27" s="28" t="s">
        <v>298</v>
      </c>
      <c r="J27" s="28" t="s">
        <v>232</v>
      </c>
      <c r="K27" s="29" t="s">
        <v>299</v>
      </c>
      <c r="L27" s="32" t="n">
        <v>16.18</v>
      </c>
      <c r="M27" s="33" t="n">
        <f aca="false">IFERROR((G27-L27)/L27,"")</f>
        <v>-0.0834363411619283</v>
      </c>
    </row>
    <row r="28" customFormat="false" ht="60" hidden="false" customHeight="true" outlineLevel="0" collapsed="false">
      <c r="A28" s="28" t="n">
        <v>24</v>
      </c>
      <c r="B28" s="28" t="s">
        <v>291</v>
      </c>
      <c r="C28" s="29" t="s">
        <v>300</v>
      </c>
      <c r="D28" s="28" t="s">
        <v>254</v>
      </c>
      <c r="E28" s="30" t="n">
        <v>3198</v>
      </c>
      <c r="F28" s="30" t="n">
        <v>4445</v>
      </c>
      <c r="G28" s="31" t="n">
        <v>14.22</v>
      </c>
      <c r="H28" s="30" t="n">
        <v>3.9</v>
      </c>
      <c r="I28" s="28" t="s">
        <v>301</v>
      </c>
      <c r="J28" s="28" t="s">
        <v>232</v>
      </c>
      <c r="K28" s="29" t="s">
        <v>302</v>
      </c>
      <c r="L28" s="32" t="n">
        <v>13.98</v>
      </c>
      <c r="M28" s="33" t="n">
        <f aca="false">IFERROR((G28-L28)/L28,"")</f>
        <v>0.0171673819742489</v>
      </c>
    </row>
    <row r="29" customFormat="false" ht="60" hidden="false" customHeight="true" outlineLevel="0" collapsed="false">
      <c r="A29" s="28" t="n">
        <v>25</v>
      </c>
      <c r="B29" s="28" t="s">
        <v>291</v>
      </c>
      <c r="C29" s="29" t="s">
        <v>303</v>
      </c>
      <c r="D29" s="28" t="s">
        <v>254</v>
      </c>
      <c r="E29" s="30" t="n">
        <v>3198</v>
      </c>
      <c r="F29" s="30" t="n">
        <v>4445</v>
      </c>
      <c r="G29" s="31" t="n">
        <v>14.01</v>
      </c>
      <c r="H29" s="30" t="n">
        <v>0</v>
      </c>
      <c r="I29" s="28" t="s">
        <v>304</v>
      </c>
      <c r="J29" s="28" t="s">
        <v>232</v>
      </c>
      <c r="K29" s="29" t="s">
        <v>305</v>
      </c>
      <c r="L29" s="32" t="n">
        <v>13.84</v>
      </c>
      <c r="M29" s="33" t="n">
        <f aca="false">IFERROR((G29-L29)/L29,"")</f>
        <v>0.0122832369942196</v>
      </c>
    </row>
    <row r="30" customFormat="false" ht="60" hidden="false" customHeight="true" outlineLevel="0" collapsed="false">
      <c r="A30" s="28" t="n">
        <v>26</v>
      </c>
      <c r="B30" s="28" t="s">
        <v>291</v>
      </c>
      <c r="C30" s="29" t="s">
        <v>306</v>
      </c>
      <c r="D30" s="28" t="s">
        <v>254</v>
      </c>
      <c r="E30" s="30" t="n">
        <v>5098</v>
      </c>
      <c r="F30" s="30" t="n">
        <v>4445</v>
      </c>
      <c r="G30" s="31" t="n">
        <v>22.66</v>
      </c>
      <c r="H30" s="30" t="n">
        <v>3.9</v>
      </c>
      <c r="I30" s="28" t="s">
        <v>307</v>
      </c>
      <c r="J30" s="28" t="s">
        <v>232</v>
      </c>
      <c r="K30" s="29" t="s">
        <v>308</v>
      </c>
      <c r="L30" s="32" t="n">
        <v>22.85</v>
      </c>
      <c r="M30" s="33" t="n">
        <f aca="false">IFERROR((G30-L30)/L30,"")</f>
        <v>-0.00831509846827139</v>
      </c>
    </row>
    <row r="31" customFormat="false" ht="60" hidden="false" customHeight="true" outlineLevel="0" collapsed="false">
      <c r="A31" s="28" t="n">
        <v>27</v>
      </c>
      <c r="B31" s="28" t="s">
        <v>291</v>
      </c>
      <c r="C31" s="29" t="s">
        <v>309</v>
      </c>
      <c r="D31" s="28" t="s">
        <v>310</v>
      </c>
      <c r="E31" s="30" t="n">
        <v>5145</v>
      </c>
      <c r="F31" s="30" t="n">
        <v>6900</v>
      </c>
      <c r="G31" s="31" t="n">
        <v>42.05</v>
      </c>
      <c r="H31" s="30" t="n">
        <v>15.3</v>
      </c>
      <c r="I31" s="28" t="s">
        <v>311</v>
      </c>
      <c r="J31" s="28" t="s">
        <v>232</v>
      </c>
      <c r="K31" s="29" t="s">
        <v>312</v>
      </c>
      <c r="L31" s="32" t="n">
        <v>39.55</v>
      </c>
      <c r="M31" s="33" t="n">
        <f aca="false">IFERROR((G31-L31)/L31,"")</f>
        <v>0.0632111251580278</v>
      </c>
    </row>
    <row r="32" customFormat="false" ht="60" hidden="false" customHeight="true" outlineLevel="0" collapsed="false">
      <c r="A32" s="28" t="n">
        <v>28</v>
      </c>
      <c r="B32" s="28" t="s">
        <v>291</v>
      </c>
      <c r="C32" s="29" t="s">
        <v>313</v>
      </c>
      <c r="D32" s="28" t="s">
        <v>310</v>
      </c>
      <c r="E32" s="30" t="n">
        <v>5145</v>
      </c>
      <c r="F32" s="30" t="n">
        <v>4700</v>
      </c>
      <c r="G32" s="31" t="n">
        <v>35.98</v>
      </c>
      <c r="H32" s="30" t="n">
        <v>15.3</v>
      </c>
      <c r="I32" s="28" t="s">
        <v>314</v>
      </c>
      <c r="J32" s="28" t="s">
        <v>232</v>
      </c>
      <c r="K32" s="29" t="s">
        <v>315</v>
      </c>
      <c r="L32" s="32" t="n">
        <v>35.18</v>
      </c>
      <c r="M32" s="33" t="n">
        <f aca="false">IFERROR((G32-L32)/L32,"")</f>
        <v>0.0227401932916429</v>
      </c>
    </row>
    <row r="33" customFormat="false" ht="60" hidden="false" customHeight="true" outlineLevel="0" collapsed="false">
      <c r="A33" s="28" t="n">
        <v>29</v>
      </c>
      <c r="B33" s="28" t="s">
        <v>291</v>
      </c>
      <c r="C33" s="29" t="s">
        <v>245</v>
      </c>
      <c r="D33" s="28" t="s">
        <v>235</v>
      </c>
      <c r="E33" s="30" t="n">
        <v>2180</v>
      </c>
      <c r="F33" s="30" t="n">
        <v>4230</v>
      </c>
      <c r="G33" s="31" t="n">
        <v>9.05</v>
      </c>
      <c r="H33" s="30" t="n">
        <v>11.84</v>
      </c>
      <c r="I33" s="28" t="s">
        <v>316</v>
      </c>
      <c r="J33" s="28" t="s">
        <v>232</v>
      </c>
      <c r="K33" s="28" t="s">
        <v>256</v>
      </c>
      <c r="L33" s="34"/>
      <c r="M33" s="33"/>
    </row>
    <row r="34" customFormat="false" ht="60" hidden="false" customHeight="true" outlineLevel="0" collapsed="false">
      <c r="A34" s="28" t="n">
        <v>30</v>
      </c>
      <c r="B34" s="28" t="s">
        <v>291</v>
      </c>
      <c r="C34" s="29" t="s">
        <v>317</v>
      </c>
      <c r="D34" s="28" t="s">
        <v>248</v>
      </c>
      <c r="E34" s="30" t="n">
        <v>4440</v>
      </c>
      <c r="F34" s="30" t="n">
        <v>2295</v>
      </c>
      <c r="G34" s="31" t="n">
        <v>10.19</v>
      </c>
      <c r="H34" s="30" t="n">
        <v>10.8</v>
      </c>
      <c r="I34" s="28" t="s">
        <v>318</v>
      </c>
      <c r="J34" s="28" t="s">
        <v>232</v>
      </c>
      <c r="K34" s="28" t="s">
        <v>256</v>
      </c>
      <c r="L34" s="34"/>
      <c r="M34" s="33"/>
    </row>
    <row r="35" customFormat="false" ht="60" hidden="false" customHeight="true" outlineLevel="0" collapsed="false">
      <c r="A35" s="28" t="n">
        <v>31</v>
      </c>
      <c r="B35" s="28" t="s">
        <v>291</v>
      </c>
      <c r="C35" s="28" t="s">
        <v>319</v>
      </c>
      <c r="D35" s="28" t="s">
        <v>269</v>
      </c>
      <c r="E35" s="30" t="n">
        <v>5740</v>
      </c>
      <c r="F35" s="30" t="n">
        <v>9250</v>
      </c>
      <c r="G35" s="31" t="n">
        <v>53.09</v>
      </c>
      <c r="H35" s="30" t="n">
        <v>16</v>
      </c>
      <c r="I35" s="28" t="s">
        <v>320</v>
      </c>
      <c r="J35" s="28" t="s">
        <v>237</v>
      </c>
      <c r="K35" s="28" t="s">
        <v>256</v>
      </c>
      <c r="L35" s="34"/>
      <c r="M35" s="33"/>
    </row>
    <row r="36" customFormat="false" ht="60" hidden="false" customHeight="true" outlineLevel="0" collapsed="false">
      <c r="A36" s="28" t="n">
        <v>32</v>
      </c>
      <c r="B36" s="28" t="s">
        <v>291</v>
      </c>
      <c r="C36" s="28" t="s">
        <v>273</v>
      </c>
      <c r="D36" s="28" t="s">
        <v>269</v>
      </c>
      <c r="E36" s="30" t="n">
        <v>17080</v>
      </c>
      <c r="F36" s="30" t="n">
        <v>2000</v>
      </c>
      <c r="G36" s="31" t="n">
        <v>34.16</v>
      </c>
      <c r="H36" s="30" t="n">
        <v>10.2</v>
      </c>
      <c r="I36" s="28" t="s">
        <v>321</v>
      </c>
      <c r="J36" s="28" t="s">
        <v>237</v>
      </c>
      <c r="K36" s="28" t="s">
        <v>256</v>
      </c>
      <c r="L36" s="34"/>
      <c r="M36" s="33"/>
    </row>
    <row r="37" customFormat="false" ht="60" hidden="false" customHeight="true" outlineLevel="0" collapsed="false">
      <c r="A37" s="28" t="n">
        <v>33</v>
      </c>
      <c r="B37" s="28" t="s">
        <v>291</v>
      </c>
      <c r="C37" s="28" t="s">
        <v>322</v>
      </c>
      <c r="D37" s="28" t="s">
        <v>269</v>
      </c>
      <c r="E37" s="30" t="n">
        <v>2000</v>
      </c>
      <c r="F37" s="30" t="n">
        <v>7230</v>
      </c>
      <c r="G37" s="31" t="n">
        <v>14.46</v>
      </c>
      <c r="H37" s="30" t="n">
        <v>8.9</v>
      </c>
      <c r="I37" s="28" t="s">
        <v>323</v>
      </c>
      <c r="J37" s="28" t="s">
        <v>232</v>
      </c>
      <c r="K37" s="28" t="s">
        <v>256</v>
      </c>
      <c r="L37" s="34"/>
      <c r="M37" s="33"/>
    </row>
    <row r="38" customFormat="false" ht="60" hidden="false" customHeight="true" outlineLevel="0" collapsed="false">
      <c r="A38" s="28" t="n">
        <v>34</v>
      </c>
      <c r="B38" s="28" t="s">
        <v>291</v>
      </c>
      <c r="C38" s="28" t="s">
        <v>324</v>
      </c>
      <c r="D38" s="28" t="s">
        <v>269</v>
      </c>
      <c r="E38" s="30" t="n">
        <v>3680</v>
      </c>
      <c r="F38" s="30" t="n">
        <v>1815</v>
      </c>
      <c r="G38" s="31" t="n">
        <v>6.68</v>
      </c>
      <c r="H38" s="30" t="n">
        <v>3</v>
      </c>
      <c r="I38" s="28" t="s">
        <v>325</v>
      </c>
      <c r="J38" s="28" t="s">
        <v>232</v>
      </c>
      <c r="K38" s="28" t="s">
        <v>256</v>
      </c>
      <c r="L38" s="34"/>
      <c r="M38" s="33"/>
    </row>
    <row r="39" customFormat="false" ht="60" hidden="false" customHeight="true" outlineLevel="0" collapsed="false">
      <c r="A39" s="28" t="n">
        <v>35</v>
      </c>
      <c r="B39" s="28" t="s">
        <v>291</v>
      </c>
      <c r="C39" s="28" t="s">
        <v>326</v>
      </c>
      <c r="D39" s="28" t="s">
        <v>269</v>
      </c>
      <c r="E39" s="30"/>
      <c r="F39" s="30"/>
      <c r="G39" s="31" t="n">
        <v>16.36</v>
      </c>
      <c r="H39" s="30" t="n">
        <v>13.7</v>
      </c>
      <c r="I39" s="28" t="s">
        <v>327</v>
      </c>
      <c r="J39" s="28" t="s">
        <v>237</v>
      </c>
      <c r="K39" s="28" t="s">
        <v>256</v>
      </c>
      <c r="L39" s="34"/>
      <c r="M39" s="33"/>
    </row>
    <row r="40" customFormat="false" ht="60" hidden="false" customHeight="true" outlineLevel="0" collapsed="false">
      <c r="A40" s="28" t="n">
        <v>36</v>
      </c>
      <c r="B40" s="28" t="s">
        <v>291</v>
      </c>
      <c r="C40" s="28" t="s">
        <v>328</v>
      </c>
      <c r="D40" s="28" t="s">
        <v>285</v>
      </c>
      <c r="E40" s="30"/>
      <c r="F40" s="30"/>
      <c r="G40" s="31" t="n">
        <v>129.05</v>
      </c>
      <c r="H40" s="30" t="n">
        <v>18.3</v>
      </c>
      <c r="I40" s="28" t="s">
        <v>329</v>
      </c>
      <c r="J40" s="28" t="s">
        <v>237</v>
      </c>
      <c r="K40" s="29" t="s">
        <v>330</v>
      </c>
      <c r="L40" s="34"/>
      <c r="M40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50"/>
  </cols>
  <sheetData>
    <row r="1" customFormat="false" ht="20.1" hidden="false" customHeight="false" outlineLevel="0" collapsed="false">
      <c r="A1" s="1" t="s">
        <v>331</v>
      </c>
    </row>
    <row r="3" customFormat="false" ht="17.15" hidden="false" customHeight="false" outlineLevel="0" collapsed="false">
      <c r="A3" s="4" t="s">
        <v>332</v>
      </c>
      <c r="B3" s="3" t="s">
        <v>333</v>
      </c>
      <c r="C3" s="3" t="s">
        <v>334</v>
      </c>
      <c r="D3" s="3" t="s">
        <v>335</v>
      </c>
      <c r="E3" s="3" t="s">
        <v>336</v>
      </c>
    </row>
    <row r="4" customFormat="false" ht="45" hidden="false" customHeight="true" outlineLevel="0" collapsed="false">
      <c r="A4" s="28" t="n">
        <v>1</v>
      </c>
      <c r="B4" s="29" t="s">
        <v>337</v>
      </c>
      <c r="C4" s="29" t="s">
        <v>338</v>
      </c>
      <c r="D4" s="28" t="s">
        <v>339</v>
      </c>
      <c r="E4" s="28" t="s">
        <v>340</v>
      </c>
    </row>
    <row r="5" customFormat="false" ht="45" hidden="false" customHeight="true" outlineLevel="0" collapsed="false">
      <c r="A5" s="28" t="n">
        <v>2</v>
      </c>
      <c r="B5" s="29" t="s">
        <v>341</v>
      </c>
      <c r="C5" s="29" t="s">
        <v>342</v>
      </c>
      <c r="D5" s="29" t="s">
        <v>343</v>
      </c>
      <c r="E5" s="29" t="s">
        <v>344</v>
      </c>
    </row>
    <row r="6" customFormat="false" ht="45" hidden="false" customHeight="true" outlineLevel="0" collapsed="false">
      <c r="A6" s="28" t="n">
        <v>3</v>
      </c>
      <c r="B6" s="29" t="s">
        <v>345</v>
      </c>
      <c r="C6" s="29" t="s">
        <v>346</v>
      </c>
      <c r="D6" s="28" t="s">
        <v>347</v>
      </c>
      <c r="E6" s="29" t="s">
        <v>348</v>
      </c>
    </row>
    <row r="7" customFormat="false" ht="45" hidden="false" customHeight="true" outlineLevel="0" collapsed="false">
      <c r="A7" s="28" t="n">
        <v>4</v>
      </c>
      <c r="B7" s="29" t="s">
        <v>349</v>
      </c>
      <c r="C7" s="28" t="s">
        <v>350</v>
      </c>
      <c r="D7" s="29" t="s">
        <v>351</v>
      </c>
      <c r="E7" s="29" t="s">
        <v>352</v>
      </c>
    </row>
    <row r="8" customFormat="false" ht="45" hidden="false" customHeight="true" outlineLevel="0" collapsed="false">
      <c r="A8" s="28" t="n">
        <v>5</v>
      </c>
      <c r="B8" s="29" t="s">
        <v>353</v>
      </c>
      <c r="C8" s="28" t="s">
        <v>354</v>
      </c>
      <c r="D8" s="28" t="s">
        <v>355</v>
      </c>
      <c r="E8" s="29" t="s">
        <v>356</v>
      </c>
    </row>
    <row r="9" customFormat="false" ht="45" hidden="false" customHeight="true" outlineLevel="0" collapsed="false">
      <c r="A9" s="28" t="n">
        <v>6</v>
      </c>
      <c r="B9" s="29" t="s">
        <v>357</v>
      </c>
      <c r="C9" s="29" t="s">
        <v>358</v>
      </c>
      <c r="D9" s="29" t="s">
        <v>359</v>
      </c>
      <c r="E9" s="29" t="s">
        <v>360</v>
      </c>
    </row>
    <row r="10" customFormat="false" ht="45" hidden="false" customHeight="true" outlineLevel="0" collapsed="false">
      <c r="A10" s="28" t="n">
        <v>7</v>
      </c>
      <c r="B10" s="29" t="s">
        <v>361</v>
      </c>
      <c r="C10" s="29" t="s">
        <v>362</v>
      </c>
      <c r="D10" s="29" t="s">
        <v>359</v>
      </c>
      <c r="E10" s="29" t="s">
        <v>360</v>
      </c>
    </row>
    <row r="11" customFormat="false" ht="45" hidden="false" customHeight="true" outlineLevel="0" collapsed="false">
      <c r="A11" s="28" t="n">
        <v>8</v>
      </c>
      <c r="B11" s="29" t="s">
        <v>363</v>
      </c>
      <c r="C11" s="29" t="s">
        <v>364</v>
      </c>
      <c r="D11" s="29" t="s">
        <v>365</v>
      </c>
      <c r="E11" s="29" t="s">
        <v>366</v>
      </c>
    </row>
    <row r="12" customFormat="false" ht="45" hidden="false" customHeight="true" outlineLevel="0" collapsed="false">
      <c r="A12" s="28" t="n">
        <v>9</v>
      </c>
      <c r="B12" s="29" t="s">
        <v>367</v>
      </c>
      <c r="C12" s="28" t="s">
        <v>368</v>
      </c>
      <c r="D12" s="28" t="s">
        <v>369</v>
      </c>
      <c r="E12" s="29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8"/>
  </cols>
  <sheetData>
    <row r="1" customFormat="false" ht="20.1" hidden="false" customHeight="false" outlineLevel="0" collapsed="false">
      <c r="A1" s="1" t="s">
        <v>371</v>
      </c>
    </row>
    <row r="3" customFormat="false" ht="17.15" hidden="false" customHeight="false" outlineLevel="0" collapsed="false">
      <c r="A3" s="3" t="s">
        <v>372</v>
      </c>
      <c r="B3" s="3" t="s">
        <v>373</v>
      </c>
      <c r="C3" s="3" t="s">
        <v>374</v>
      </c>
      <c r="D3" s="4" t="s">
        <v>375</v>
      </c>
      <c r="E3" s="3" t="s">
        <v>376</v>
      </c>
      <c r="F3" s="3" t="s">
        <v>377</v>
      </c>
    </row>
    <row r="4" customFormat="false" ht="32.8" hidden="false" customHeight="false" outlineLevel="0" collapsed="false">
      <c r="A4" s="28" t="s">
        <v>378</v>
      </c>
      <c r="B4" s="29" t="s">
        <v>379</v>
      </c>
      <c r="C4" s="35" t="s">
        <v>380</v>
      </c>
      <c r="D4" s="28" t="s">
        <v>381</v>
      </c>
      <c r="E4" s="35" t="n">
        <v>0</v>
      </c>
      <c r="F4" s="35" t="n">
        <v>-0.026</v>
      </c>
    </row>
    <row r="5" customFormat="false" ht="17.15" hidden="false" customHeight="false" outlineLevel="0" collapsed="false">
      <c r="A5" s="28" t="s">
        <v>382</v>
      </c>
      <c r="B5" s="29" t="s">
        <v>383</v>
      </c>
      <c r="C5" s="35" t="n">
        <v>0.163</v>
      </c>
      <c r="D5" s="28" t="s">
        <v>384</v>
      </c>
      <c r="E5" s="35" t="n">
        <v>0.343</v>
      </c>
      <c r="F5" s="35" t="n">
        <v>-0.154</v>
      </c>
    </row>
    <row r="6" customFormat="false" ht="32.8" hidden="false" customHeight="false" outlineLevel="0" collapsed="false">
      <c r="A6" s="28" t="s">
        <v>385</v>
      </c>
      <c r="B6" s="29" t="s">
        <v>386</v>
      </c>
      <c r="C6" s="35" t="n">
        <v>0.143</v>
      </c>
      <c r="D6" s="28" t="s">
        <v>387</v>
      </c>
      <c r="E6" s="35" t="n">
        <v>0.503</v>
      </c>
      <c r="F6" s="35" t="n">
        <v>-0.057</v>
      </c>
    </row>
    <row r="7" customFormat="false" ht="32.8" hidden="false" customHeight="false" outlineLevel="0" collapsed="false">
      <c r="A7" s="28" t="s">
        <v>388</v>
      </c>
      <c r="B7" s="29" t="s">
        <v>389</v>
      </c>
      <c r="C7" s="35" t="n">
        <v>0.088</v>
      </c>
      <c r="D7" s="28" t="s">
        <v>390</v>
      </c>
      <c r="E7" s="35" t="n">
        <v>0.64</v>
      </c>
      <c r="F7" s="35" t="n">
        <v>-0.046</v>
      </c>
    </row>
    <row r="8" customFormat="false" ht="17.15" hidden="false" customHeight="false" outlineLevel="0" collapsed="false">
      <c r="A8" s="28" t="s">
        <v>391</v>
      </c>
      <c r="B8" s="29" t="s">
        <v>392</v>
      </c>
      <c r="C8" s="35" t="n">
        <v>0.088</v>
      </c>
      <c r="D8" s="28" t="s">
        <v>390</v>
      </c>
      <c r="E8" s="35" t="n">
        <v>0.668</v>
      </c>
      <c r="F8" s="35" t="n">
        <v>-0.085</v>
      </c>
    </row>
    <row r="9" customFormat="false" ht="17.15" hidden="false" customHeight="false" outlineLevel="0" collapsed="false">
      <c r="A9" s="28" t="s">
        <v>393</v>
      </c>
      <c r="B9" s="29" t="s">
        <v>394</v>
      </c>
      <c r="C9" s="35" t="n">
        <v>0.043</v>
      </c>
      <c r="D9" s="28" t="s">
        <v>395</v>
      </c>
      <c r="E9" s="35" t="n">
        <v>0.675</v>
      </c>
      <c r="F9" s="35" t="n">
        <v>-0.034</v>
      </c>
    </row>
    <row r="11" customFormat="false" ht="17.15" hidden="false" customHeight="false" outlineLevel="0" collapsed="false">
      <c r="A11" s="2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2026-10-14T06:41:56Z</dcterms:created>
  <dc:creator>openpyxl</dc:creator>
  <dc:description/>
  <dc:language>en-US</dc:language>
  <cp:lastModifiedBy/>
  <dcterms:modified xsi:type="dcterms:W3CDTF">2026-10-14T06:41:57Z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